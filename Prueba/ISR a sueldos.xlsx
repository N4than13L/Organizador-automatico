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os\Universidad\Tributacion II\"/>
    </mc:Choice>
  </mc:AlternateContent>
  <xr:revisionPtr revIDLastSave="0" documentId="8_{C70F18CC-9748-44C9-B482-4053B6C864CA}" xr6:coauthVersionLast="47" xr6:coauthVersionMax="47" xr10:uidLastSave="{00000000-0000-0000-0000-000000000000}"/>
  <bookViews>
    <workbookView xWindow="28680" yWindow="-120" windowWidth="21840" windowHeight="13740" xr2:uid="{F7824202-23BA-4A45-A93B-AC59AF553B0E}"/>
  </bookViews>
  <sheets>
    <sheet name="Presentacion" sheetId="3" r:id="rId1"/>
    <sheet name="Nomi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J22" i="1"/>
  <c r="M22" i="1"/>
  <c r="I10" i="1"/>
  <c r="N10" i="1"/>
  <c r="N9" i="1"/>
  <c r="M10" i="1"/>
  <c r="M9" i="1"/>
  <c r="M8" i="1"/>
  <c r="L22" i="1"/>
  <c r="K22" i="1"/>
  <c r="H22" i="1"/>
  <c r="G10" i="1"/>
  <c r="F10" i="1"/>
  <c r="G9" i="1"/>
  <c r="F9" i="1"/>
  <c r="G8" i="1"/>
  <c r="F8" i="1"/>
  <c r="M7" i="1"/>
  <c r="I7" i="1"/>
  <c r="G7" i="1"/>
  <c r="F7" i="1"/>
  <c r="M6" i="1"/>
  <c r="G6" i="1"/>
  <c r="F6" i="1"/>
  <c r="N7" i="1" l="1"/>
  <c r="I8" i="1"/>
  <c r="N8" i="1" s="1"/>
  <c r="I6" i="1"/>
  <c r="N22" i="1"/>
  <c r="G22" i="1"/>
  <c r="N6" i="1"/>
  <c r="I9" i="1"/>
  <c r="I22" i="1" l="1"/>
</calcChain>
</file>

<file path=xl/sharedStrings.xml><?xml version="1.0" encoding="utf-8"?>
<sst xmlns="http://schemas.openxmlformats.org/spreadsheetml/2006/main" count="27" uniqueCount="24">
  <si>
    <t>DEDUCCIONES</t>
  </si>
  <si>
    <t>TOTAL DEDUCCIONES</t>
  </si>
  <si>
    <t>SUELDO NETO</t>
  </si>
  <si>
    <t>NOMBRES Y APELLIDOS</t>
  </si>
  <si>
    <t>CEDULA</t>
  </si>
  <si>
    <t>PUESTO</t>
  </si>
  <si>
    <t>SUELDO BRUTO</t>
  </si>
  <si>
    <t>SEG. SOC.</t>
  </si>
  <si>
    <t>PAGOS ADICIONALES</t>
  </si>
  <si>
    <t>RENTA NETA</t>
  </si>
  <si>
    <t>ISR</t>
  </si>
  <si>
    <t>PRESTAMOS</t>
  </si>
  <si>
    <t>OTROS</t>
  </si>
  <si>
    <t>FIRMA</t>
  </si>
  <si>
    <t>SFS</t>
  </si>
  <si>
    <t>AFP</t>
  </si>
  <si>
    <t>xx-xxxxxxx-xx</t>
  </si>
  <si>
    <t>xx-xxxxxx-xx</t>
  </si>
  <si>
    <t>TOTALES</t>
  </si>
  <si>
    <t>Juan</t>
  </si>
  <si>
    <t>Miguel</t>
  </si>
  <si>
    <t>Luis</t>
  </si>
  <si>
    <t>Jose Miguel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</si>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</sst>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1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44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4" fontId="4" fillId="0" borderId="15" xfId="0" applyNumberFormat="1" applyFont="1" applyBorder="1" applyAlignment="1">
      <alignment vertical="center"/>
    </xf>
    <xf numFmtId="4" fontId="4" fillId="0" borderId="16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4" fontId="4" fillId="0" borderId="10" xfId="0" applyNumberFormat="1" applyFont="1" applyBorder="1" applyAlignment="1">
      <alignment vertical="center"/>
    </xf>
    <xf numFmtId="2" fontId="4" fillId="0" borderId="8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4" fontId="4" fillId="0" borderId="12" xfId="0" applyNumberFormat="1" applyFont="1" applyBorder="1" applyAlignment="1">
      <alignment vertical="center"/>
    </xf>
    <xf numFmtId="44" fontId="4" fillId="0" borderId="18" xfId="0" applyNumberFormat="1" applyFont="1" applyBorder="1" applyAlignment="1">
      <alignment vertical="center"/>
    </xf>
    <xf numFmtId="0" fontId="0" fillId="0" borderId="16" xfId="0" applyBorder="1"/>
    <xf numFmtId="44" fontId="4" fillId="0" borderId="0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18" xfId="0" applyBorder="1"/>
    <xf numFmtId="0" fontId="4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71" fontId="0" fillId="0" borderId="16" xfId="1" applyNumberFormat="1" applyFont="1" applyBorder="1"/>
    <xf numFmtId="171" fontId="0" fillId="0" borderId="21" xfId="1" applyNumberFormat="1" applyFont="1" applyBorder="1"/>
    <xf numFmtId="44" fontId="4" fillId="0" borderId="6" xfId="0" applyNumberFormat="1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44" fontId="4" fillId="0" borderId="25" xfId="0" applyNumberFormat="1" applyFont="1" applyBorder="1" applyAlignment="1">
      <alignment vertical="center"/>
    </xf>
    <xf numFmtId="44" fontId="0" fillId="0" borderId="23" xfId="0" applyNumberFormat="1" applyBorder="1"/>
    <xf numFmtId="4" fontId="4" fillId="0" borderId="19" xfId="0" applyNumberFormat="1" applyFont="1" applyBorder="1" applyAlignment="1">
      <alignment vertical="center"/>
    </xf>
    <xf numFmtId="0" fontId="4" fillId="0" borderId="18" xfId="0" applyFont="1" applyBorder="1"/>
    <xf numFmtId="0" fontId="4" fillId="0" borderId="25" xfId="0" applyFont="1" applyBorder="1" applyAlignment="1">
      <alignment vertical="center"/>
    </xf>
    <xf numFmtId="44" fontId="4" fillId="0" borderId="24" xfId="0" applyNumberFormat="1" applyFont="1" applyBorder="1" applyAlignment="1">
      <alignment vertical="center"/>
    </xf>
    <xf numFmtId="44" fontId="4" fillId="0" borderId="26" xfId="0" applyNumberFormat="1" applyFont="1" applyBorder="1" applyAlignment="1">
      <alignment vertical="center"/>
    </xf>
    <xf numFmtId="0" fontId="0" fillId="0" borderId="1" xfId="0" applyBorder="1"/>
    <xf numFmtId="4" fontId="4" fillId="0" borderId="26" xfId="0" applyNumberFormat="1" applyFont="1" applyBorder="1" applyAlignment="1">
      <alignment vertical="center"/>
    </xf>
    <xf numFmtId="44" fontId="4" fillId="0" borderId="7" xfId="0" applyNumberFormat="1" applyFont="1" applyBorder="1" applyAlignment="1">
      <alignment vertical="center"/>
    </xf>
    <xf numFmtId="44" fontId="4" fillId="0" borderId="4" xfId="0" applyNumberFormat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4" fontId="0" fillId="0" borderId="18" xfId="0" applyNumberFormat="1" applyBorder="1"/>
    <xf numFmtId="44" fontId="0" fillId="0" borderId="18" xfId="0" applyNumberFormat="1" applyBorder="1"/>
    <xf numFmtId="0" fontId="4" fillId="0" borderId="23" xfId="0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352424</xdr:colOff>
      <xdr:row>0</xdr:row>
      <xdr:rowOff>0</xdr:rowOff>
    </xdr:from>
    <xdr:to>
      <xdr:col>6</xdr:col>
      <xdr:colOff>609599</xdr:colOff>
      <xdr:row>28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DC819D-D519-84A4-CC6F-2D606EF0F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61" r="2967" b="6027"/>
        <a:stretch>
          <a:fillRect/>
        </a:stretch>
      </xdr:blipFill>
      <xdr:spPr>
        <a:xfrm>
          <a:off x="1114424" y="0"/>
          <a:ext cx="4067175" cy="521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4D1B-DC11-4ED7-A3AD-7ACBBC1FC606}">
  <dimension ref="A1"/>
  <sheetViews>
    <sheetView tabSelected="1" workbookViewId="0">
      <selection activeCell="I16" sqref="I1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E3CD-FD91-43CD-9FF7-36E82A80B6BF}">
  <dimension ref="A2:O23"/>
  <sheetViews>
    <sheetView zoomScaleNormal="100" workbookViewId="0">
      <selection activeCell="B5" sqref="B5"/>
    </sheetView>
  </sheetViews>
  <sheetFormatPr baseColWidth="10" defaultRowHeight="14.5" x14ac:dyDescent="0.35"/>
  <cols>
    <col min="2" max="2" width="29.6328125" customWidth="1"/>
    <col min="3" max="3" width="19.08984375" customWidth="1"/>
    <col min="4" max="4" width="21.7265625" customWidth="1"/>
    <col min="5" max="5" width="18" customWidth="1"/>
    <col min="6" max="6" width="16.6328125" customWidth="1"/>
    <col min="7" max="7" width="15.453125" customWidth="1"/>
    <col min="8" max="8" width="10.90625" customWidth="1"/>
    <col min="9" max="9" width="17.1796875" customWidth="1"/>
    <col min="10" max="10" width="16.08984375" customWidth="1"/>
    <col min="11" max="12" width="10.90625" customWidth="1"/>
    <col min="13" max="13" width="14.6328125" customWidth="1"/>
    <col min="14" max="14" width="16.81640625" customWidth="1"/>
    <col min="15" max="15" width="10.90625" customWidth="1"/>
  </cols>
  <sheetData>
    <row r="2" spans="1:15" ht="15" thickBot="1" x14ac:dyDescent="0.4"/>
    <row r="3" spans="1:15" ht="15" thickBot="1" x14ac:dyDescent="0.4">
      <c r="A3" s="31"/>
      <c r="B3" s="37"/>
      <c r="C3" s="2"/>
      <c r="D3" s="2"/>
      <c r="E3" s="2"/>
      <c r="F3" s="3"/>
      <c r="G3" s="2"/>
      <c r="H3" s="3"/>
      <c r="I3" s="1"/>
      <c r="J3" s="4" t="s">
        <v>0</v>
      </c>
      <c r="K3" s="5"/>
      <c r="L3" s="5"/>
      <c r="M3" s="6" t="s">
        <v>1</v>
      </c>
      <c r="N3" s="6" t="s">
        <v>2</v>
      </c>
      <c r="O3" s="2"/>
    </row>
    <row r="4" spans="1:15" ht="18.5" thickBot="1" x14ac:dyDescent="0.4">
      <c r="A4" s="31"/>
      <c r="B4" s="38" t="s">
        <v>3</v>
      </c>
      <c r="C4" s="7" t="s">
        <v>4</v>
      </c>
      <c r="D4" s="7" t="s">
        <v>5</v>
      </c>
      <c r="E4" s="8" t="s">
        <v>6</v>
      </c>
      <c r="F4" s="9" t="s">
        <v>7</v>
      </c>
      <c r="G4" s="10"/>
      <c r="H4" s="11" t="s">
        <v>8</v>
      </c>
      <c r="I4" s="12" t="s">
        <v>9</v>
      </c>
      <c r="J4" s="12" t="s">
        <v>10</v>
      </c>
      <c r="K4" s="11" t="s">
        <v>11</v>
      </c>
      <c r="L4" s="13" t="s">
        <v>12</v>
      </c>
      <c r="M4" s="14"/>
      <c r="N4" s="14"/>
      <c r="O4" s="12" t="s">
        <v>13</v>
      </c>
    </row>
    <row r="5" spans="1:15" ht="15" thickBot="1" x14ac:dyDescent="0.4">
      <c r="A5" s="31"/>
      <c r="B5" s="39"/>
      <c r="C5" s="15"/>
      <c r="D5" s="15"/>
      <c r="E5" s="15"/>
      <c r="F5" s="16" t="s">
        <v>14</v>
      </c>
      <c r="G5" s="16" t="s">
        <v>15</v>
      </c>
      <c r="H5" s="16"/>
      <c r="I5" s="16"/>
      <c r="J5" s="15"/>
      <c r="K5" s="15"/>
      <c r="L5" s="17"/>
      <c r="M5" s="14"/>
      <c r="N5" s="14"/>
      <c r="O5" s="15"/>
    </row>
    <row r="6" spans="1:15" ht="15.5" thickTop="1" thickBot="1" x14ac:dyDescent="0.4">
      <c r="A6" s="41">
        <v>1</v>
      </c>
      <c r="B6" s="59" t="s">
        <v>21</v>
      </c>
      <c r="C6" s="18" t="s">
        <v>16</v>
      </c>
      <c r="D6" s="18"/>
      <c r="E6" s="19">
        <v>25400</v>
      </c>
      <c r="F6" s="19">
        <f>E6*3.04%</f>
        <v>772.16</v>
      </c>
      <c r="G6" s="19">
        <f>E6*2.87%</f>
        <v>728.98</v>
      </c>
      <c r="H6" s="20"/>
      <c r="I6" s="19">
        <f>E6-F6-G6</f>
        <v>23898.86</v>
      </c>
      <c r="J6" s="19"/>
      <c r="K6" s="19"/>
      <c r="L6" s="21">
        <v>0</v>
      </c>
      <c r="M6" s="22">
        <f>J6+K6</f>
        <v>0</v>
      </c>
      <c r="N6" s="22">
        <f>I6-M6</f>
        <v>23898.86</v>
      </c>
      <c r="O6" s="20"/>
    </row>
    <row r="7" spans="1:15" ht="15" thickBot="1" x14ac:dyDescent="0.4">
      <c r="A7" s="41">
        <v>2</v>
      </c>
      <c r="B7" s="40" t="s">
        <v>19</v>
      </c>
      <c r="C7" s="33" t="s">
        <v>17</v>
      </c>
      <c r="D7" s="33"/>
      <c r="E7" s="24">
        <v>695000</v>
      </c>
      <c r="F7" s="24">
        <f>E7*3.04%</f>
        <v>21128</v>
      </c>
      <c r="G7" s="24">
        <f>E7*2.87%</f>
        <v>19946.5</v>
      </c>
      <c r="H7" s="23"/>
      <c r="I7" s="24">
        <f>E7-F7-G7</f>
        <v>653925.5</v>
      </c>
      <c r="J7" s="24">
        <v>162332.94</v>
      </c>
      <c r="K7" s="24"/>
      <c r="L7" s="32">
        <v>0</v>
      </c>
      <c r="M7" s="43">
        <f>J7+K7</f>
        <v>162332.94</v>
      </c>
      <c r="N7" s="47">
        <f>I7-M7</f>
        <v>491592.56</v>
      </c>
      <c r="O7" s="52"/>
    </row>
    <row r="8" spans="1:15" ht="15" thickBot="1" x14ac:dyDescent="0.4">
      <c r="A8" s="42">
        <v>3</v>
      </c>
      <c r="B8" s="35" t="s">
        <v>23</v>
      </c>
      <c r="C8" s="36" t="s">
        <v>17</v>
      </c>
      <c r="D8" s="44"/>
      <c r="E8" s="45">
        <v>65500</v>
      </c>
      <c r="F8" s="45">
        <f>E8*3.04%</f>
        <v>1991.2</v>
      </c>
      <c r="G8" s="45">
        <f>E8*2.87%</f>
        <v>1879.85</v>
      </c>
      <c r="H8" s="45"/>
      <c r="I8" s="45">
        <f>E8-F8-G8+H8</f>
        <v>61628.950000000004</v>
      </c>
      <c r="J8" s="45">
        <v>5195.8500000000004</v>
      </c>
      <c r="K8" s="45">
        <v>0</v>
      </c>
      <c r="L8" s="50">
        <v>0</v>
      </c>
      <c r="M8" s="45">
        <f>J8+K8</f>
        <v>5195.8500000000004</v>
      </c>
      <c r="N8" s="53">
        <f>I8-M8+L8</f>
        <v>56433.100000000006</v>
      </c>
      <c r="O8" s="35"/>
    </row>
    <row r="9" spans="1:15" ht="15" thickBot="1" x14ac:dyDescent="0.4">
      <c r="A9" s="42">
        <v>4</v>
      </c>
      <c r="B9" s="48" t="s">
        <v>22</v>
      </c>
      <c r="C9" s="36" t="s">
        <v>17</v>
      </c>
      <c r="D9" s="44"/>
      <c r="E9" s="45">
        <v>985000</v>
      </c>
      <c r="F9" s="45">
        <f>E9*3.04%</f>
        <v>29944</v>
      </c>
      <c r="G9" s="45">
        <f>E9*2.87%</f>
        <v>28269.5</v>
      </c>
      <c r="H9" s="49"/>
      <c r="I9" s="45">
        <f>E9-F9-G9</f>
        <v>926786.5</v>
      </c>
      <c r="J9" s="45">
        <v>234832.94</v>
      </c>
      <c r="K9" s="45"/>
      <c r="L9" s="50">
        <v>0</v>
      </c>
      <c r="M9" s="45">
        <f>J9+K9</f>
        <v>234832.94</v>
      </c>
      <c r="N9" s="51">
        <f>I9-M9</f>
        <v>691953.56</v>
      </c>
      <c r="O9" s="34"/>
    </row>
    <row r="10" spans="1:15" ht="15" thickBot="1" x14ac:dyDescent="0.4">
      <c r="A10" s="42">
        <v>5</v>
      </c>
      <c r="B10" s="35" t="s">
        <v>20</v>
      </c>
      <c r="C10" s="36" t="s">
        <v>17</v>
      </c>
      <c r="D10" s="36"/>
      <c r="E10" s="57">
        <v>51000</v>
      </c>
      <c r="F10" s="30">
        <f>E10*3.04%</f>
        <v>1550.4</v>
      </c>
      <c r="G10" s="30">
        <f>E10*2.87%</f>
        <v>1463.7</v>
      </c>
      <c r="H10" s="34"/>
      <c r="I10" s="58">
        <f>E10-F10-G10</f>
        <v>47985.9</v>
      </c>
      <c r="J10" s="57">
        <v>2447.25</v>
      </c>
      <c r="K10" s="34"/>
      <c r="L10" s="34"/>
      <c r="M10" s="57">
        <f>J10+K10</f>
        <v>2447.25</v>
      </c>
      <c r="N10" s="46">
        <f>I10-M10</f>
        <v>45538.65</v>
      </c>
      <c r="O10" s="35"/>
    </row>
    <row r="11" spans="1:15" ht="15" thickBot="1" x14ac:dyDescent="0.4">
      <c r="A11" s="31"/>
      <c r="B11" s="20"/>
      <c r="C11" s="54"/>
      <c r="D11" s="36"/>
      <c r="E11" s="30"/>
      <c r="F11" s="30"/>
      <c r="G11" s="30"/>
      <c r="H11" s="35"/>
      <c r="I11" s="30"/>
      <c r="J11" s="30"/>
      <c r="K11" s="30"/>
      <c r="L11" s="55"/>
      <c r="M11" s="30"/>
      <c r="N11" s="30"/>
      <c r="O11" s="56"/>
    </row>
    <row r="12" spans="1:15" ht="15" thickBot="1" x14ac:dyDescent="0.4">
      <c r="A12" s="31"/>
      <c r="B12" s="20"/>
      <c r="C12" s="19"/>
      <c r="D12" s="18"/>
      <c r="E12" s="19"/>
      <c r="F12" s="19"/>
      <c r="G12" s="19"/>
      <c r="H12" s="20"/>
      <c r="I12" s="19"/>
      <c r="J12" s="19"/>
      <c r="K12" s="19"/>
      <c r="L12" s="21"/>
      <c r="M12" s="30"/>
      <c r="N12" s="30"/>
      <c r="O12" s="20"/>
    </row>
    <row r="13" spans="1:15" ht="15" thickBot="1" x14ac:dyDescent="0.4">
      <c r="A13" s="31"/>
      <c r="B13" s="20"/>
      <c r="C13" s="19"/>
      <c r="D13" s="18"/>
      <c r="E13" s="19"/>
      <c r="F13" s="19"/>
      <c r="G13" s="19"/>
      <c r="H13" s="20"/>
      <c r="I13" s="19"/>
      <c r="J13" s="19"/>
      <c r="K13" s="19"/>
      <c r="L13" s="21"/>
      <c r="M13" s="30"/>
      <c r="N13" s="30"/>
      <c r="O13" s="20"/>
    </row>
    <row r="14" spans="1:15" ht="15" thickBot="1" x14ac:dyDescent="0.4">
      <c r="A14" s="31"/>
      <c r="B14" s="20"/>
      <c r="C14" s="20"/>
      <c r="D14" s="23"/>
      <c r="E14" s="20"/>
      <c r="F14" s="25"/>
      <c r="G14" s="25"/>
      <c r="H14" s="20"/>
      <c r="I14" s="20"/>
      <c r="J14" s="20"/>
      <c r="K14" s="20"/>
      <c r="L14" s="26"/>
      <c r="M14" s="35"/>
      <c r="N14" s="35"/>
      <c r="O14" s="20"/>
    </row>
    <row r="15" spans="1:15" ht="15" thickBot="1" x14ac:dyDescent="0.4">
      <c r="A15" s="31"/>
      <c r="B15" s="20"/>
      <c r="C15" s="20"/>
      <c r="D15" s="27"/>
      <c r="E15" s="20"/>
      <c r="F15" s="25"/>
      <c r="G15" s="25"/>
      <c r="H15" s="20"/>
      <c r="I15" s="20"/>
      <c r="J15" s="20"/>
      <c r="K15" s="20"/>
      <c r="L15" s="26"/>
      <c r="M15" s="35"/>
      <c r="N15" s="35"/>
      <c r="O15" s="20"/>
    </row>
    <row r="16" spans="1:15" ht="15" thickBot="1" x14ac:dyDescent="0.4">
      <c r="A16" s="31"/>
      <c r="B16" s="20"/>
      <c r="C16" s="20"/>
      <c r="D16" s="20"/>
      <c r="E16" s="20"/>
      <c r="F16" s="25"/>
      <c r="G16" s="25"/>
      <c r="H16" s="20"/>
      <c r="I16" s="20"/>
      <c r="J16" s="20"/>
      <c r="K16" s="20"/>
      <c r="L16" s="26"/>
      <c r="M16" s="35"/>
      <c r="N16" s="35"/>
      <c r="O16" s="20"/>
    </row>
    <row r="17" spans="1:15" ht="15" thickBot="1" x14ac:dyDescent="0.4">
      <c r="A17" s="31"/>
      <c r="B17" s="20"/>
      <c r="C17" s="20"/>
      <c r="D17" s="20"/>
      <c r="E17" s="20"/>
      <c r="F17" s="25"/>
      <c r="G17" s="25"/>
      <c r="H17" s="20"/>
      <c r="I17" s="20"/>
      <c r="J17" s="20"/>
      <c r="K17" s="20"/>
      <c r="L17" s="26"/>
      <c r="M17" s="35"/>
      <c r="N17" s="35"/>
      <c r="O17" s="20"/>
    </row>
    <row r="18" spans="1:15" ht="15" thickBot="1" x14ac:dyDescent="0.4">
      <c r="A18" s="31"/>
      <c r="B18" s="20"/>
      <c r="C18" s="20"/>
      <c r="D18" s="20"/>
      <c r="E18" s="20"/>
      <c r="F18" s="25"/>
      <c r="G18" s="25"/>
      <c r="H18" s="20"/>
      <c r="I18" s="20"/>
      <c r="J18" s="20"/>
      <c r="K18" s="20"/>
      <c r="L18" s="26"/>
      <c r="M18" s="35"/>
      <c r="N18" s="35"/>
      <c r="O18" s="20"/>
    </row>
    <row r="19" spans="1:15" ht="15" thickBot="1" x14ac:dyDescent="0.4">
      <c r="A19" s="31"/>
      <c r="B19" s="20"/>
      <c r="C19" s="20"/>
      <c r="D19" s="20"/>
      <c r="E19" s="20"/>
      <c r="F19" s="25"/>
      <c r="G19" s="25"/>
      <c r="H19" s="20"/>
      <c r="I19" s="20"/>
      <c r="J19" s="20"/>
      <c r="K19" s="20"/>
      <c r="L19" s="26"/>
      <c r="M19" s="35"/>
      <c r="N19" s="35"/>
      <c r="O19" s="20"/>
    </row>
    <row r="20" spans="1:15" ht="15" thickBot="1" x14ac:dyDescent="0.4">
      <c r="A20" s="31"/>
      <c r="B20" s="20"/>
      <c r="C20" s="20"/>
      <c r="D20" s="20"/>
      <c r="E20" s="20"/>
      <c r="F20" s="25"/>
      <c r="G20" s="25"/>
      <c r="H20" s="20"/>
      <c r="I20" s="20"/>
      <c r="J20" s="20"/>
      <c r="K20" s="20"/>
      <c r="L20" s="26"/>
      <c r="M20" s="35"/>
      <c r="N20" s="35"/>
      <c r="O20" s="20"/>
    </row>
    <row r="21" spans="1:15" ht="15" thickBot="1" x14ac:dyDescent="0.4">
      <c r="A21" s="31"/>
      <c r="B21" s="20"/>
      <c r="C21" s="20"/>
      <c r="D21" s="20"/>
      <c r="E21" s="20"/>
      <c r="F21" s="25"/>
      <c r="G21" s="25"/>
      <c r="H21" s="20"/>
      <c r="I21" s="20"/>
      <c r="J21" s="20"/>
      <c r="K21" s="20"/>
      <c r="L21" s="26"/>
      <c r="M21" s="35"/>
      <c r="N21" s="35"/>
      <c r="O21" s="20"/>
    </row>
    <row r="22" spans="1:15" ht="15" thickBot="1" x14ac:dyDescent="0.4">
      <c r="D22" s="28" t="s">
        <v>18</v>
      </c>
      <c r="E22" s="29">
        <f>SUM(E6:E21)</f>
        <v>1821900</v>
      </c>
      <c r="F22" s="29">
        <f>SUM(F6:F21)</f>
        <v>55385.760000000002</v>
      </c>
      <c r="G22" s="29">
        <f t="shared" ref="E22:N22" si="0">SUM(G6:G21)</f>
        <v>52288.53</v>
      </c>
      <c r="H22" s="29">
        <f t="shared" si="0"/>
        <v>0</v>
      </c>
      <c r="I22" s="29">
        <f t="shared" si="0"/>
        <v>1714225.71</v>
      </c>
      <c r="J22" s="29">
        <f>SUM(J6:J21)</f>
        <v>404808.98</v>
      </c>
      <c r="K22" s="29">
        <f t="shared" si="0"/>
        <v>0</v>
      </c>
      <c r="L22" s="29">
        <f t="shared" si="0"/>
        <v>0</v>
      </c>
      <c r="M22" s="29">
        <f>SUM(M6:M21)</f>
        <v>404808.98</v>
      </c>
      <c r="N22" s="29">
        <f>SUM(N6:N21)</f>
        <v>1309416.73</v>
      </c>
    </row>
    <row r="23" spans="1:15" ht="15" thickTop="1" x14ac:dyDescent="0.35"/>
  </sheetData>
  <mergeCells count="4">
    <mergeCell ref="J3:L3"/>
    <mergeCell ref="M3:M5"/>
    <mergeCell ref="N3:N5"/>
    <mergeCell ref="F4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8BDABE431C340925016A71D544685" ma:contentTypeVersion="8" ma:contentTypeDescription="Crear nuevo documento." ma:contentTypeScope="" ma:versionID="fc3e8fa40084b9dd56314605d7668bcd">
  <xsd:schema xmlns:xsd="http://www.w3.org/2001/XMLSchema" xmlns:xs="http://www.w3.org/2001/XMLSchema" xmlns:p="http://schemas.microsoft.com/office/2006/metadata/properties" xmlns:ns3="febac911-7b5b-4471-ac86-be1edf17f557" targetNamespace="http://schemas.microsoft.com/office/2006/metadata/properties" ma:root="true" ma:fieldsID="2b8e54bf4200cf739eb00745373fd1b4" ns3:_="">
    <xsd:import namespace="febac911-7b5b-4471-ac86-be1edf17f5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ac911-7b5b-4471-ac86-be1edf17f5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bac911-7b5b-4471-ac86-be1edf17f557" xsi:nil="true"/>
  </documentManagement>
</p:properties>
</file>

<file path=customXml/itemProps1.xml><?xml version="1.0" encoding="utf-8"?>
<ds:datastoreItem xmlns:ds="http://schemas.openxmlformats.org/officeDocument/2006/customXml" ds:itemID="{6ACE47E3-389A-4B78-9DC3-777EB67CC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ac911-7b5b-4471-ac86-be1edf17f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3D6193-5E09-4D3F-9B31-36D1E8CE56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F62765-0DAD-45D5-A79B-266043EF31C4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febac911-7b5b-4471-ac86-be1edf17f5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Presentacion</vt:lpstr>
      <vt:lpstr>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Nathaniel Bonilla De Los Santos</dc:creator>
  <cp:lastModifiedBy>Jose Nathaniel Bonilla De Los Santos</cp:lastModifiedBy>
  <dcterms:created xsi:type="dcterms:W3CDTF">2025-09-16T02:25:33Z</dcterms:created>
  <dcterms:modified xsi:type="dcterms:W3CDTF">2025-09-16T16:03:42Z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0x010100BA18BDABE431C340925016A71D544685</vt:lpwstr>
  </property>
</Properties>
</file>