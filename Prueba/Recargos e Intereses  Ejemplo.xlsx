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dhi\Desktop\Universidad\Sem 02-2025\W 08\"/>
    </mc:Choice>
  </mc:AlternateContent>
  <xr:revisionPtr revIDLastSave="0" documentId="13_ncr:1_{5E02C32B-30FA-4B47-988F-2546C8635B51}" xr6:coauthVersionLast="47" xr6:coauthVersionMax="47" xr10:uidLastSave="{00000000-0000-0000-0000-000000000000}"/>
  <bookViews>
    <workbookView xWindow="-108" yWindow="-108" windowWidth="23256" windowHeight="13896" xr2:uid="{8303452C-54D9-47A4-ACC9-BC54853ADED4}"/>
  </bookViews>
  <sheets>
    <sheet name="Ejemplo Práctica de Recargo (3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F33" i="1"/>
  <c r="G35" i="1"/>
  <c r="E36" i="1"/>
  <c r="F36" i="1"/>
  <c r="E37" i="1"/>
  <c r="F39" i="1" l="1"/>
  <c r="E39" i="1" s="1"/>
  <c r="F38" i="1"/>
  <c r="E38" i="1" s="1"/>
  <c r="E40" i="1" l="1"/>
</calcChain>
</file>

<file path=xl/sharedStrings.xml><?xml version="1.0" encoding="utf-8"?>
<sst xmlns="http://schemas.openxmlformats.org/spreadsheetml/2006/main" count="41" uniqueCount="40">
  <si>
    <t>Interés</t>
  </si>
  <si>
    <t>1 mes por 10%</t>
  </si>
  <si>
    <t>Recargos</t>
  </si>
  <si>
    <t>Tambien se puede realizar de la siguiente manera</t>
  </si>
  <si>
    <t>total a pagar</t>
  </si>
  <si>
    <t>interes</t>
  </si>
  <si>
    <t>recargos</t>
  </si>
  <si>
    <t>impuesto</t>
  </si>
  <si>
    <t>año 2025</t>
  </si>
  <si>
    <t>Total %</t>
  </si>
  <si>
    <t>Meses</t>
  </si>
  <si>
    <t>fecha de pago</t>
  </si>
  <si>
    <t>Tiempo de gracia</t>
  </si>
  <si>
    <t>Período fiscal</t>
  </si>
  <si>
    <t>Impuesto</t>
  </si>
  <si>
    <t>Determinación</t>
  </si>
  <si>
    <t>Paso 2</t>
  </si>
  <si>
    <t>90 dias</t>
  </si>
  <si>
    <t>Gracia:</t>
  </si>
  <si>
    <t>Datos Suministrados:</t>
  </si>
  <si>
    <t>Paso 1</t>
  </si>
  <si>
    <t>Caso de Práctica ejemplo</t>
  </si>
  <si>
    <t>Período fiscal: enero-diciembre 2024</t>
  </si>
  <si>
    <t>Fecha límite de pago: 31 de Marzo 2025</t>
  </si>
  <si>
    <t>Valor del Impuesto: RD$153,000.00</t>
  </si>
  <si>
    <t>enero-diciembre 2024</t>
  </si>
  <si>
    <t>31 de Marzo 2025</t>
  </si>
  <si>
    <t>RECARGOS</t>
  </si>
  <si>
    <t>Intereses</t>
  </si>
  <si>
    <t>entonces fecha 31 de marzo 2025</t>
  </si>
  <si>
    <t>Desde 01 abril 2025 al 30/04/2025</t>
  </si>
  <si>
    <t>Fecha de pago: 02  de Septiembre 2025</t>
  </si>
  <si>
    <t>02 de Septiembre 2025</t>
  </si>
  <si>
    <t>de Abril a Septiembre</t>
  </si>
  <si>
    <t>Abril-sept  los dias lo que represta una fracción de mes, el primer mes es un 10%, ya sea un mes o fracción de mes)</t>
  </si>
  <si>
    <t>5 por 4%</t>
  </si>
  <si>
    <t>6 meses por 1.10</t>
  </si>
  <si>
    <t>de abril a sept</t>
  </si>
  <si>
    <t>igual a 30%</t>
  </si>
  <si>
    <t>igual a 6.60%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</si>
</sst>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quotePrefix="1" applyBorder="1" applyAlignment="1">
      <alignment horizontal="left"/>
    </xf>
    <xf numFmtId="0" fontId="0" fillId="0" borderId="0" xfId="0" quotePrefix="1" applyAlignment="1">
      <alignment horizontal="left"/>
    </xf>
    <xf numFmtId="43" fontId="2" fillId="2" borderId="1" xfId="0" applyNumberFormat="1" applyFont="1" applyFill="1" applyBorder="1"/>
    <xf numFmtId="0" fontId="2" fillId="2" borderId="1" xfId="0" applyFont="1" applyFill="1" applyBorder="1"/>
    <xf numFmtId="10" fontId="0" fillId="0" borderId="0" xfId="0" applyNumberFormat="1"/>
    <xf numFmtId="43" fontId="0" fillId="0" borderId="0" xfId="1" applyFont="1"/>
    <xf numFmtId="9" fontId="0" fillId="0" borderId="0" xfId="0" applyNumberFormat="1"/>
    <xf numFmtId="4" fontId="0" fillId="0" borderId="0" xfId="0" applyNumberFormat="1"/>
    <xf numFmtId="17" fontId="0" fillId="0" borderId="0" xfId="0" applyNumberFormat="1"/>
    <xf numFmtId="0" fontId="0" fillId="0" borderId="1" xfId="0" applyBorder="1"/>
    <xf numFmtId="17" fontId="0" fillId="0" borderId="1" xfId="0" applyNumberFormat="1" applyBorder="1"/>
    <xf numFmtId="17" fontId="0" fillId="2" borderId="0" xfId="0" quotePrefix="1" applyNumberFormat="1" applyFill="1" applyAlignment="1">
      <alignment horizontal="left"/>
    </xf>
    <xf numFmtId="0" fontId="0" fillId="2" borderId="0" xfId="0" applyFill="1"/>
    <xf numFmtId="0" fontId="0" fillId="3" borderId="0" xfId="0" applyFill="1"/>
    <xf numFmtId="0" fontId="0" fillId="3" borderId="0" xfId="0" quotePrefix="1" applyFill="1" applyAlignment="1">
      <alignment horizontal="left"/>
    </xf>
    <xf numFmtId="4" fontId="0" fillId="2" borderId="0" xfId="0" applyNumberFormat="1" applyFill="1"/>
    <xf numFmtId="0" fontId="0" fillId="0" borderId="2" xfId="0" applyBorder="1"/>
    <xf numFmtId="15" fontId="0" fillId="0" borderId="0" xfId="0" applyNumberFormat="1"/>
    <xf numFmtId="0" fontId="2" fillId="0" borderId="0" xfId="0" applyFont="1"/>
    <xf numFmtId="17" fontId="0" fillId="0" borderId="0" xfId="0" quotePrefix="1" applyNumberForma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158750</xdr:colOff>
      <xdr:row>3</xdr:row>
      <xdr:rowOff>25400</xdr:rowOff>
    </xdr:from>
    <xdr:to>
      <xdr:col>5</xdr:col>
      <xdr:colOff>869950</xdr:colOff>
      <xdr:row>6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798632-0FA6-4D5A-B6C9-06C4EB34D56C}"/>
            </a:ext>
          </a:extLst>
        </xdr:cNvPr>
        <xdr:cNvSpPr txBox="1"/>
      </xdr:nvSpPr>
      <xdr:spPr>
        <a:xfrm>
          <a:off x="768350" y="574040"/>
          <a:ext cx="2890520" cy="6946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D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Angel</a:t>
          </a:r>
          <a:r>
            <a:rPr lang="es-D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Romas Perez</a:t>
          </a:r>
          <a:r>
            <a:rPr lang="es-D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presentó su declaración jurada de impuesto Sobre la Renta del Ejercicio Fiscal, </a:t>
          </a:r>
          <a:r>
            <a:rPr lang="es-D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enero- diciembre 2024</a:t>
          </a:r>
          <a:r>
            <a:rPr lang="es-D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el día 02 de Septiembre del año 2025, por valor de impuesto  a pagar de: RD$ 153,000.00.</a:t>
          </a:r>
        </a:p>
        <a:p>
          <a:endParaRPr lang="es-DO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237D-A16F-4C95-B91A-3F8F4D4BD0FC}">
  <dimension ref="B2:H54"/>
  <sheetViews>
    <sheetView tabSelected="1" topLeftCell="A32" zoomScale="112" zoomScaleNormal="112" workbookViewId="0">
      <selection activeCell="E54" sqref="E54"/>
    </sheetView>
  </sheetViews>
  <sheetFormatPr defaultRowHeight="14.4" x14ac:dyDescent="0.3"/>
  <cols>
    <col min="2" max="2" width="12.21875" customWidth="1"/>
    <col min="3" max="3" width="21" customWidth="1"/>
    <col min="4" max="4" width="32.88671875" customWidth="1"/>
    <col min="5" max="5" width="24.44140625" customWidth="1"/>
    <col min="6" max="6" width="18.44140625" customWidth="1"/>
    <col min="7" max="7" width="18.109375" customWidth="1"/>
    <col min="8" max="8" width="12.44140625" customWidth="1"/>
  </cols>
  <sheetData>
    <row r="2" spans="2:4" x14ac:dyDescent="0.3">
      <c r="B2" t="s">
        <v>21</v>
      </c>
    </row>
    <row r="9" spans="2:4" x14ac:dyDescent="0.3">
      <c r="B9" t="s">
        <v>20</v>
      </c>
    </row>
    <row r="10" spans="2:4" x14ac:dyDescent="0.3">
      <c r="C10" s="19" t="s">
        <v>19</v>
      </c>
      <c r="D10" s="19"/>
    </row>
    <row r="11" spans="2:4" x14ac:dyDescent="0.3">
      <c r="C11" s="2" t="s">
        <v>22</v>
      </c>
    </row>
    <row r="12" spans="2:4" x14ac:dyDescent="0.3">
      <c r="C12" t="s">
        <v>18</v>
      </c>
      <c r="D12" t="s">
        <v>17</v>
      </c>
    </row>
    <row r="13" spans="2:4" x14ac:dyDescent="0.3">
      <c r="C13" s="2" t="s">
        <v>23</v>
      </c>
    </row>
    <row r="14" spans="2:4" x14ac:dyDescent="0.3">
      <c r="C14" s="2" t="s">
        <v>31</v>
      </c>
    </row>
    <row r="15" spans="2:4" x14ac:dyDescent="0.3">
      <c r="C15" s="2" t="s">
        <v>24</v>
      </c>
      <c r="D15" s="18"/>
    </row>
    <row r="16" spans="2:4" x14ac:dyDescent="0.3">
      <c r="B16" t="s">
        <v>16</v>
      </c>
    </row>
    <row r="17" spans="2:8" x14ac:dyDescent="0.3">
      <c r="C17" t="s">
        <v>15</v>
      </c>
    </row>
    <row r="18" spans="2:8" x14ac:dyDescent="0.3">
      <c r="B18" s="17" t="s">
        <v>14</v>
      </c>
      <c r="C18" s="17" t="s">
        <v>13</v>
      </c>
      <c r="D18" s="17" t="s">
        <v>12</v>
      </c>
    </row>
    <row r="19" spans="2:8" x14ac:dyDescent="0.3">
      <c r="B19" s="16">
        <v>153000</v>
      </c>
      <c r="C19" s="12" t="s">
        <v>25</v>
      </c>
      <c r="D19">
        <v>90</v>
      </c>
      <c r="E19" s="2" t="s">
        <v>26</v>
      </c>
      <c r="G19" s="15" t="s">
        <v>29</v>
      </c>
      <c r="H19" s="14"/>
    </row>
    <row r="21" spans="2:8" x14ac:dyDescent="0.3">
      <c r="C21" s="13" t="s">
        <v>11</v>
      </c>
      <c r="D21" s="2" t="s">
        <v>32</v>
      </c>
      <c r="E21">
        <v>2025</v>
      </c>
    </row>
    <row r="22" spans="2:8" x14ac:dyDescent="0.3">
      <c r="D22" s="13" t="s">
        <v>10</v>
      </c>
      <c r="E22" s="13" t="s">
        <v>27</v>
      </c>
      <c r="F22" t="s">
        <v>28</v>
      </c>
    </row>
    <row r="23" spans="2:8" x14ac:dyDescent="0.3">
      <c r="D23" s="20" t="s">
        <v>30</v>
      </c>
      <c r="E23">
        <v>10</v>
      </c>
      <c r="F23">
        <v>1.1000000000000001</v>
      </c>
    </row>
    <row r="24" spans="2:8" x14ac:dyDescent="0.3">
      <c r="C24" s="2" t="s">
        <v>8</v>
      </c>
      <c r="D24" s="9">
        <v>45778</v>
      </c>
      <c r="E24">
        <v>4</v>
      </c>
      <c r="F24">
        <v>1.1000000000000001</v>
      </c>
    </row>
    <row r="25" spans="2:8" x14ac:dyDescent="0.3">
      <c r="D25" s="9">
        <v>45809</v>
      </c>
      <c r="E25">
        <v>4</v>
      </c>
      <c r="F25">
        <v>1.1000000000000001</v>
      </c>
    </row>
    <row r="26" spans="2:8" x14ac:dyDescent="0.3">
      <c r="D26" s="9">
        <v>45839</v>
      </c>
      <c r="E26">
        <v>4</v>
      </c>
      <c r="F26">
        <v>1.1000000000000001</v>
      </c>
    </row>
    <row r="27" spans="2:8" x14ac:dyDescent="0.3">
      <c r="D27" s="9">
        <v>45870</v>
      </c>
      <c r="E27">
        <v>4</v>
      </c>
      <c r="F27">
        <v>1.1000000000000001</v>
      </c>
    </row>
    <row r="28" spans="2:8" x14ac:dyDescent="0.3">
      <c r="D28" s="9">
        <v>45901</v>
      </c>
      <c r="E28">
        <v>4</v>
      </c>
      <c r="F28">
        <v>1.1000000000000001</v>
      </c>
    </row>
    <row r="29" spans="2:8" x14ac:dyDescent="0.3">
      <c r="D29" s="9"/>
    </row>
    <row r="30" spans="2:8" x14ac:dyDescent="0.3">
      <c r="D30" s="9"/>
    </row>
    <row r="31" spans="2:8" x14ac:dyDescent="0.3">
      <c r="D31" s="9"/>
    </row>
    <row r="32" spans="2:8" x14ac:dyDescent="0.3">
      <c r="D32" s="9"/>
    </row>
    <row r="33" spans="2:7" ht="15" thickBot="1" x14ac:dyDescent="0.35">
      <c r="D33" s="11" t="s">
        <v>9</v>
      </c>
      <c r="E33" s="10">
        <f>SUM(E23:E32)</f>
        <v>30</v>
      </c>
      <c r="F33" s="10">
        <f>SUM(F23:F32)</f>
        <v>6.6</v>
      </c>
    </row>
    <row r="34" spans="2:7" ht="15" thickTop="1" x14ac:dyDescent="0.3">
      <c r="C34" s="2" t="s">
        <v>8</v>
      </c>
      <c r="D34" s="9">
        <v>45658</v>
      </c>
    </row>
    <row r="35" spans="2:7" x14ac:dyDescent="0.3">
      <c r="D35" s="9">
        <v>45689</v>
      </c>
      <c r="G35">
        <f>F35/100</f>
        <v>0</v>
      </c>
    </row>
    <row r="36" spans="2:7" x14ac:dyDescent="0.3">
      <c r="D36" s="9"/>
      <c r="E36">
        <f>SUM(E34:E35)</f>
        <v>0</v>
      </c>
      <c r="F36">
        <f>SUM(F34:F35)</f>
        <v>0</v>
      </c>
    </row>
    <row r="37" spans="2:7" x14ac:dyDescent="0.3">
      <c r="D37" t="s">
        <v>7</v>
      </c>
      <c r="E37" s="8">
        <f>B19</f>
        <v>153000</v>
      </c>
    </row>
    <row r="38" spans="2:7" x14ac:dyDescent="0.3">
      <c r="D38" t="s">
        <v>6</v>
      </c>
      <c r="E38" s="6">
        <f>E37*F38</f>
        <v>45900</v>
      </c>
      <c r="F38" s="7">
        <f>E33%+E36%</f>
        <v>0.3</v>
      </c>
    </row>
    <row r="39" spans="2:7" x14ac:dyDescent="0.3">
      <c r="D39" t="s">
        <v>5</v>
      </c>
      <c r="E39" s="6">
        <f>E37*F39</f>
        <v>10098</v>
      </c>
      <c r="F39" s="5">
        <f>F33%+F36%</f>
        <v>6.6000000000000003E-2</v>
      </c>
    </row>
    <row r="40" spans="2:7" ht="15" thickBot="1" x14ac:dyDescent="0.35">
      <c r="D40" s="4" t="s">
        <v>4</v>
      </c>
      <c r="E40" s="3">
        <f>E37+E38+E39</f>
        <v>208998</v>
      </c>
    </row>
    <row r="41" spans="2:7" ht="15" thickTop="1" x14ac:dyDescent="0.3"/>
    <row r="44" spans="2:7" x14ac:dyDescent="0.3">
      <c r="B44" t="s">
        <v>3</v>
      </c>
    </row>
    <row r="45" spans="2:7" x14ac:dyDescent="0.3">
      <c r="D45" s="19" t="s">
        <v>2</v>
      </c>
    </row>
    <row r="46" spans="2:7" x14ac:dyDescent="0.3">
      <c r="C46" s="2" t="s">
        <v>33</v>
      </c>
      <c r="D46" s="2" t="s">
        <v>34</v>
      </c>
    </row>
    <row r="47" spans="2:7" x14ac:dyDescent="0.3">
      <c r="D47" t="s">
        <v>1</v>
      </c>
      <c r="E47">
        <v>10</v>
      </c>
    </row>
    <row r="48" spans="2:7" x14ac:dyDescent="0.3">
      <c r="D48" s="2" t="s">
        <v>35</v>
      </c>
      <c r="E48">
        <v>20</v>
      </c>
    </row>
    <row r="49" spans="4:5" ht="15" thickBot="1" x14ac:dyDescent="0.35">
      <c r="E49" s="1" t="s">
        <v>38</v>
      </c>
    </row>
    <row r="50" spans="4:5" ht="15" thickTop="1" x14ac:dyDescent="0.3">
      <c r="D50" s="19" t="s">
        <v>0</v>
      </c>
    </row>
    <row r="51" spans="4:5" x14ac:dyDescent="0.3">
      <c r="D51" s="2" t="s">
        <v>37</v>
      </c>
    </row>
    <row r="52" spans="4:5" x14ac:dyDescent="0.3">
      <c r="D52" s="2" t="s">
        <v>36</v>
      </c>
      <c r="E52">
        <v>6.6</v>
      </c>
    </row>
    <row r="53" spans="4:5" ht="15" thickBot="1" x14ac:dyDescent="0.35">
      <c r="E53" s="1" t="s">
        <v>39</v>
      </c>
    </row>
    <row r="54" spans="4:5" ht="15" thickTop="1" x14ac:dyDescent="0.3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Ejemplo Práctica de Recargo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Rivas</dc:creator>
  <cp:lastModifiedBy>Claudia Rivas</cp:lastModifiedBy>
  <dcterms:created xsi:type="dcterms:W3CDTF">2025-02-08T00:21:03Z</dcterms:created>
  <dcterms:modified xsi:type="dcterms:W3CDTF">2025-09-02T21:27:30Z</dcterms:modified>
</cp:coreProperties>
</file>