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atha\OneDrive\Documentos\Universidad\Tributacion II\"/>
    </mc:Choice>
  </mc:AlternateContent>
  <xr:revisionPtr revIDLastSave="0" documentId="8_{4BD60881-45EA-4F33-8ABE-D5A2CD9F10D1}" xr6:coauthVersionLast="47" xr6:coauthVersionMax="47" xr10:uidLastSave="{00000000-0000-0000-0000-000000000000}"/>
  <bookViews>
    <workbookView xWindow="28680" yWindow="-120" windowWidth="21840" windowHeight="13740" activeTab="1" xr2:uid="{0D03F5D1-546D-403F-B10E-309711DB1A72}"/>
  </bookViews>
  <sheets>
    <sheet name="Presentacion" sheetId="7" r:id="rId1"/>
    <sheet name="Caso 1" sheetId="1" r:id="rId2"/>
    <sheet name="Caso 2" sheetId="2" r:id="rId3"/>
    <sheet name="Caso 3" sheetId="3" r:id="rId4"/>
    <sheet name="Caso 4" sheetId="4" r:id="rId5"/>
    <sheet name="Caso 5"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1" l="1"/>
  <c r="D40" i="1"/>
  <c r="E40" i="1"/>
  <c r="D55" i="1"/>
  <c r="D56" i="1" s="1"/>
  <c r="E51" i="2"/>
  <c r="E47" i="2"/>
  <c r="E56" i="5"/>
  <c r="E60" i="5"/>
  <c r="E43" i="4"/>
  <c r="E47" i="4"/>
  <c r="E49" i="3"/>
  <c r="E42" i="3"/>
  <c r="F32" i="3"/>
  <c r="E27" i="3"/>
  <c r="E46" i="3"/>
  <c r="F27" i="3"/>
  <c r="E45" i="5"/>
  <c r="F44" i="5"/>
  <c r="E44" i="5"/>
  <c r="G43" i="5"/>
  <c r="F41" i="5"/>
  <c r="E41" i="5"/>
  <c r="F46" i="5" s="1"/>
  <c r="E32" i="4"/>
  <c r="F31" i="4"/>
  <c r="E31" i="4"/>
  <c r="G30" i="4"/>
  <c r="F28" i="4"/>
  <c r="F34" i="4" s="1"/>
  <c r="E28" i="4"/>
  <c r="E31" i="3"/>
  <c r="F30" i="3"/>
  <c r="E30" i="3"/>
  <c r="G29" i="3"/>
  <c r="E36" i="2"/>
  <c r="F35" i="2"/>
  <c r="E35" i="2"/>
  <c r="G34" i="2"/>
  <c r="F32" i="2"/>
  <c r="F38" i="2" s="1"/>
  <c r="E32" i="2"/>
  <c r="F37" i="2" s="1"/>
  <c r="D44" i="1"/>
  <c r="E43" i="1"/>
  <c r="D43" i="1"/>
  <c r="F42" i="1"/>
  <c r="E46" i="1" l="1"/>
  <c r="D46" i="1" s="1"/>
  <c r="F47" i="5"/>
  <c r="E47" i="5" s="1"/>
  <c r="E46" i="5"/>
  <c r="F33" i="4"/>
  <c r="E33" i="4" s="1"/>
  <c r="E34" i="4"/>
  <c r="F33" i="3"/>
  <c r="E33" i="3" s="1"/>
  <c r="E32" i="3"/>
  <c r="E37" i="2"/>
  <c r="E38" i="2"/>
  <c r="E45" i="1"/>
  <c r="D45" i="1" l="1"/>
  <c r="D47" i="1" s="1"/>
  <c r="E48" i="5"/>
  <c r="E35" i="4"/>
  <c r="E34" i="3"/>
  <c r="E39" i="2"/>
</calcChain>
</file>

<file path=xl/sharedStrings.xml><?xml version="1.0" encoding="utf-8"?>
<sst xmlns="http://schemas.openxmlformats.org/spreadsheetml/2006/main" count="199" uniqueCount="83">
  <si>
    <t>Paso 1</t>
  </si>
  <si>
    <t>Datos Suministrados:</t>
  </si>
  <si>
    <t>Período fiscal: enero-diciembre 2024</t>
  </si>
  <si>
    <t>Gracia:</t>
  </si>
  <si>
    <t>90 dias</t>
  </si>
  <si>
    <t>Paso 2</t>
  </si>
  <si>
    <t>Determinación</t>
  </si>
  <si>
    <t>Impuesto</t>
  </si>
  <si>
    <t>Período fiscal</t>
  </si>
  <si>
    <t>Tiempo de gracia</t>
  </si>
  <si>
    <t>enero-diciembre 2024</t>
  </si>
  <si>
    <t>31 de Marzo 2025</t>
  </si>
  <si>
    <t>entonces fecha 31 de marzo 2025</t>
  </si>
  <si>
    <t>fecha de pago</t>
  </si>
  <si>
    <t>Meses</t>
  </si>
  <si>
    <t>RECARGOS</t>
  </si>
  <si>
    <t>Intereses</t>
  </si>
  <si>
    <t>año 2025</t>
  </si>
  <si>
    <t>Total %</t>
  </si>
  <si>
    <t>impuesto</t>
  </si>
  <si>
    <t>recargos</t>
  </si>
  <si>
    <t>interes</t>
  </si>
  <si>
    <t>total a pagar</t>
  </si>
  <si>
    <t>Tambien se puede realizar de la siguiente manera</t>
  </si>
  <si>
    <t>Recargos</t>
  </si>
  <si>
    <t>1 mes por 10%</t>
  </si>
  <si>
    <t>Interés</t>
  </si>
  <si>
    <t>de abril a sept</t>
  </si>
  <si>
    <t>Valor del Impuesto: RD$90,821.00.</t>
  </si>
  <si>
    <t>Fecha de pago: 14 de Agosto 2024</t>
  </si>
  <si>
    <t>año 2023</t>
  </si>
  <si>
    <t>Fecha límite de pago: 31 de marzo del 2022</t>
  </si>
  <si>
    <t>Período fiscal: enero-diciembre 2022</t>
  </si>
  <si>
    <t>año 2024</t>
  </si>
  <si>
    <t>15 por 4%</t>
  </si>
  <si>
    <t>de abril 2022 a agosto 2024</t>
  </si>
  <si>
    <t>16 meses por 1.10</t>
  </si>
  <si>
    <t>Período fiscal: enero-diciembre 2023</t>
  </si>
  <si>
    <t>Fecha límite de pago: 31 de Marzo 2024</t>
  </si>
  <si>
    <t>Fecha de pago: 14 de diciembre 2024</t>
  </si>
  <si>
    <t>Valor del Impuesto: RD$180,000.00</t>
  </si>
  <si>
    <t>8 por 4%</t>
  </si>
  <si>
    <t>igual a 42%</t>
  </si>
  <si>
    <t>9 meses por 1.10</t>
  </si>
  <si>
    <t>igual a 9.90%</t>
  </si>
  <si>
    <t>Fecha de pago: 2 de julio 2025</t>
  </si>
  <si>
    <t>Valor del Impuesto: RD$820,000.00</t>
  </si>
  <si>
    <t>4 por 4%</t>
  </si>
  <si>
    <t>igual a 26%</t>
  </si>
  <si>
    <t>4 meses por 1.10</t>
  </si>
  <si>
    <t>igual a 4.40%</t>
  </si>
  <si>
    <t>3 por 4%</t>
  </si>
  <si>
    <t>igual a 22%</t>
  </si>
  <si>
    <t>Fecha de pago: 31 de agosto del 2025</t>
  </si>
  <si>
    <t>Valor del Impuesto: RD$1,150,000.00</t>
  </si>
  <si>
    <t>5 meses por 1.10</t>
  </si>
  <si>
    <t>igual a 5.50%</t>
  </si>
  <si>
    <t>de Abril a Agosto</t>
  </si>
  <si>
    <t>Abril-Agos  los dias lo que represta una fracción de mes, el primer mes es un 10%, ya sea un mes o fracción de mes)</t>
  </si>
  <si>
    <t>Fecha de pago: 30 de agosto del 2025</t>
  </si>
  <si>
    <t>Valor del Impuesto: RD$140,000.00</t>
  </si>
  <si>
    <t>enero-diciembre 2023</t>
  </si>
  <si>
    <t>Desde 01 abril 2024 al 30/08/2025</t>
  </si>
  <si>
    <t>igual a 74%</t>
  </si>
  <si>
    <t>Abril 2024-sept 2025  los dias lo que represta una fracción de mes, el primer mes es un 10%, ya sea un mes o fracción de mes)</t>
  </si>
  <si>
    <t>17 meses por 1.10</t>
  </si>
  <si>
    <t>16 por 4%</t>
  </si>
  <si>
    <t>30 de Agosto del 2025</t>
  </si>
  <si>
    <t>31 de agosto del 2025</t>
  </si>
  <si>
    <t>Desde 01 abril 2025 al 31/08/2025</t>
  </si>
  <si>
    <t>02 de Julio 2025</t>
  </si>
  <si>
    <t>Desde 01 abril 2025 al 02/06/2025</t>
  </si>
  <si>
    <t>de Abril a Julio</t>
  </si>
  <si>
    <t>14 de Diciembre 2024</t>
  </si>
  <si>
    <t>de Abril a Diciembre</t>
  </si>
  <si>
    <t>14 de de agosto del 2024</t>
  </si>
  <si>
    <t>Desde 01 abril 2023 al 14/08/2024</t>
  </si>
  <si>
    <t>de mayo 2023 a Agosto 2025</t>
  </si>
  <si>
    <t>mayo 2023-sept 2025  los dias lo que represta una fracción de mes, el primer mes es un 10%, ya sea un mes o fracción de mes)</t>
  </si>
  <si>
    <t>Abril-Diciembre los dias lo que represta una fracción de mes, el primer mes es un 10%, ya sea un mes o fracción de mes)</t>
  </si>
  <si>
    <t>Desde 01 abril 2025 al 14/12/2024</t>
  </si>
  <si>
    <t>Abril-julio  los dias lo que represta una fracción de mes, el primer mes es un 10%, ya sea un mes o fracción de mes)</t>
  </si>
  <si>
    <t>de Abril2024 a Sept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</si>
</sst>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2" fillId="0" borderId="0" xfId="0" applyFont="1"/>
    <xf numFmtId="0" fontId="0" fillId="0" borderId="0" xfId="0" quotePrefix="1" applyAlignment="1">
      <alignment horizontal="left"/>
    </xf>
    <xf numFmtId="15" fontId="0" fillId="0" borderId="0" xfId="0" applyNumberFormat="1"/>
    <xf numFmtId="0" fontId="0" fillId="0" borderId="1" xfId="0" applyBorder="1"/>
    <xf numFmtId="4" fontId="0" fillId="2" borderId="0" xfId="0" applyNumberFormat="1" applyFill="1"/>
    <xf numFmtId="17" fontId="0" fillId="2" borderId="0" xfId="0" quotePrefix="1" applyNumberFormat="1" applyFill="1" applyAlignment="1">
      <alignment horizontal="left"/>
    </xf>
    <xf numFmtId="0" fontId="0" fillId="3" borderId="0" xfId="0" quotePrefix="1" applyFill="1" applyAlignment="1">
      <alignment horizontal="left"/>
    </xf>
    <xf numFmtId="0" fontId="0" fillId="3" borderId="0" xfId="0" applyFill="1"/>
    <xf numFmtId="0" fontId="0" fillId="2" borderId="0" xfId="0" applyFill="1"/>
    <xf numFmtId="17" fontId="0" fillId="0" borderId="0" xfId="0" quotePrefix="1" applyNumberFormat="1" applyAlignment="1">
      <alignment horizontal="left"/>
    </xf>
    <xf numFmtId="17" fontId="0" fillId="0" borderId="0" xfId="0" applyNumberFormat="1"/>
    <xf numFmtId="17" fontId="0" fillId="0" borderId="2" xfId="0" applyNumberFormat="1" applyBorder="1"/>
    <xf numFmtId="0" fontId="0" fillId="0" borderId="2" xfId="0" applyBorder="1"/>
    <xf numFmtId="4" fontId="0" fillId="0" borderId="0" xfId="0" applyNumberFormat="1"/>
    <xf numFmtId="43" fontId="0" fillId="0" borderId="0" xfId="1" applyFont="1"/>
    <xf numFmtId="9" fontId="0" fillId="0" borderId="0" xfId="0" applyNumberFormat="1"/>
    <xf numFmtId="10" fontId="0" fillId="0" borderId="0" xfId="0" applyNumberFormat="1"/>
    <xf numFmtId="0" fontId="2" fillId="2" borderId="2" xfId="0" applyFont="1" applyFill="1" applyBorder="1"/>
    <xf numFmtId="43" fontId="2" fillId="2" borderId="2" xfId="0" applyNumberFormat="1" applyFont="1" applyFill="1" applyBorder="1"/>
    <xf numFmtId="0" fontId="0" fillId="0" borderId="2" xfId="0" quotePrefix="1" applyBorder="1" applyAlignment="1">
      <alignment horizontal="left"/>
    </xf>
    <xf numFmtId="0" fontId="0" fillId="0" borderId="2" xfId="0" quotePrefix="1" applyBorder="1" applyAlignment="1">
      <alignment horizontal="right"/>
    </xf>
    <xf numFmtId="10" fontId="0" fillId="0" borderId="2" xfId="0" quotePrefix="1" applyNumberFormat="1" applyBorder="1" applyAlignment="1">
      <alignment horizontal="right"/>
    </xf>
    <xf numFmtId="164" fontId="0" fillId="0" borderId="0" xfId="0" applyNumberFormat="1"/>
    <xf numFmtId="0" fontId="0" fillId="0" borderId="0" xfId="0" applyAlignment="1">
      <alignment horizontal="center"/>
    </xf>
    <xf numFmtId="0" fontId="0" fillId="0" borderId="0" xfId="0" quotePrefix="1" applyAlignment="1">
      <alignment horizontal="left"/>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487248</xdr:colOff>
      <xdr:row>0</xdr:row>
      <xdr:rowOff>61815</xdr:rowOff>
    </xdr:from>
    <xdr:to>
      <xdr:col>7</xdr:col>
      <xdr:colOff>508303</xdr:colOff>
      <xdr:row>33</xdr:row>
      <xdr:rowOff>101551</xdr:rowOff>
    </xdr:to>
    <xdr:pic>
      <xdr:nvPicPr>
        <xdr:cNvPr id="5" name="Imagen 4">
          <a:extLst>
            <a:ext uri="{FF2B5EF4-FFF2-40B4-BE49-F238E27FC236}">
              <a16:creationId xmlns:a16="http://schemas.microsoft.com/office/drawing/2014/main" id="{9C455DE7-1B85-270A-42C4-C0FA0632DF9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962" b="11226"/>
        <a:stretch>
          <a:fillRect/>
        </a:stretch>
      </xdr:blipFill>
      <xdr:spPr>
        <a:xfrm>
          <a:off x="487248" y="61815"/>
          <a:ext cx="5370790" cy="61593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158750</xdr:colOff>
      <xdr:row>2</xdr:row>
      <xdr:rowOff>25400</xdr:rowOff>
    </xdr:from>
    <xdr:to>
      <xdr:col>4</xdr:col>
      <xdr:colOff>869950</xdr:colOff>
      <xdr:row>5</xdr:row>
      <xdr:rowOff>171450</xdr:rowOff>
    </xdr:to>
    <xdr:sp macro="" textlink="">
      <xdr:nvSpPr>
        <xdr:cNvPr id="2" name="TextBox 1">
          <a:extLst>
            <a:ext uri="{FF2B5EF4-FFF2-40B4-BE49-F238E27FC236}">
              <a16:creationId xmlns:a16="http://schemas.microsoft.com/office/drawing/2014/main" id="{9D9E3E17-E712-4C2F-96A0-0D9909A4BD8A}"/>
            </a:ext>
          </a:extLst>
        </xdr:cNvPr>
        <xdr:cNvSpPr txBox="1"/>
      </xdr:nvSpPr>
      <xdr:spPr>
        <a:xfrm>
          <a:off x="771525" y="571500"/>
          <a:ext cx="7019925"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DO"/>
            <a:t>1- Carlos Brito presentó su declaración jurada de impuesto Sobre la Renta del Ejercicio Fiscal, enerodiciembre 2022 el día 14 de agosto del año 2024, por valor de impuesto de: RD$ 90,821.00.</a:t>
          </a:r>
          <a:endParaRPr lang="es-DO"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158750</xdr:colOff>
      <xdr:row>2</xdr:row>
      <xdr:rowOff>25400</xdr:rowOff>
    </xdr:from>
    <xdr:to>
      <xdr:col>5</xdr:col>
      <xdr:colOff>869950</xdr:colOff>
      <xdr:row>5</xdr:row>
      <xdr:rowOff>171450</xdr:rowOff>
    </xdr:to>
    <xdr:sp macro="" textlink="">
      <xdr:nvSpPr>
        <xdr:cNvPr id="2" name="TextBox 1">
          <a:extLst>
            <a:ext uri="{FF2B5EF4-FFF2-40B4-BE49-F238E27FC236}">
              <a16:creationId xmlns:a16="http://schemas.microsoft.com/office/drawing/2014/main" id="{340A00E7-4E95-4E43-9E9B-712BB50228DD}"/>
            </a:ext>
          </a:extLst>
        </xdr:cNvPr>
        <xdr:cNvSpPr txBox="1"/>
      </xdr:nvSpPr>
      <xdr:spPr>
        <a:xfrm>
          <a:off x="771525" y="571500"/>
          <a:ext cx="7019925"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DO"/>
            <a:t>2- Manuela Jaquez, presentó su declaración jurada de impuesto Sobre la Renta del Ejercicio Fiscal enero-diciembre 2023, el día 14 de diciembre 2024 por valor de impuesto de: valor de RD$ 180,000.00. </a:t>
          </a:r>
          <a:endParaRPr lang="es-DO"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158750</xdr:colOff>
      <xdr:row>2</xdr:row>
      <xdr:rowOff>25400</xdr:rowOff>
    </xdr:from>
    <xdr:to>
      <xdr:col>7</xdr:col>
      <xdr:colOff>488950</xdr:colOff>
      <xdr:row>5</xdr:row>
      <xdr:rowOff>171450</xdr:rowOff>
    </xdr:to>
    <xdr:sp macro="" textlink="">
      <xdr:nvSpPr>
        <xdr:cNvPr id="2" name="TextBox 1">
          <a:extLst>
            <a:ext uri="{FF2B5EF4-FFF2-40B4-BE49-F238E27FC236}">
              <a16:creationId xmlns:a16="http://schemas.microsoft.com/office/drawing/2014/main" id="{5DDF51D8-2194-4B3C-9B67-25D4B0FACF39}"/>
            </a:ext>
          </a:extLst>
        </xdr:cNvPr>
        <xdr:cNvSpPr txBox="1"/>
      </xdr:nvSpPr>
      <xdr:spPr>
        <a:xfrm>
          <a:off x="920750" y="393700"/>
          <a:ext cx="4902200" cy="69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DO"/>
            <a:t>3- El señor Juan Peguero presentó su declaración jurada de impuesto Sobre la Renta del año 2024. el día 02 de julio del 2025, Se determinó un Impuesto por pagar por valor de RD$ 820,000.00</a:t>
          </a:r>
          <a:endParaRPr lang="es-DO"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158750</xdr:colOff>
      <xdr:row>2</xdr:row>
      <xdr:rowOff>25400</xdr:rowOff>
    </xdr:from>
    <xdr:to>
      <xdr:col>7</xdr:col>
      <xdr:colOff>514350</xdr:colOff>
      <xdr:row>6</xdr:row>
      <xdr:rowOff>120650</xdr:rowOff>
    </xdr:to>
    <xdr:sp macro="" textlink="">
      <xdr:nvSpPr>
        <xdr:cNvPr id="2" name="TextBox 1">
          <a:extLst>
            <a:ext uri="{FF2B5EF4-FFF2-40B4-BE49-F238E27FC236}">
              <a16:creationId xmlns:a16="http://schemas.microsoft.com/office/drawing/2014/main" id="{955D6BE4-DBA1-4241-86B3-0B1AFAF2966F}"/>
            </a:ext>
          </a:extLst>
        </xdr:cNvPr>
        <xdr:cNvSpPr txBox="1"/>
      </xdr:nvSpPr>
      <xdr:spPr>
        <a:xfrm>
          <a:off x="920750" y="393700"/>
          <a:ext cx="4927600" cy="83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DO"/>
            <a:t>4- Marcos Pereira, presentó su declaración jurada de impuesto Sobre la Renta del Ejercicio Fiscal 2024, el día 31 de Agosto del 2025, Se determinó un Impuesto dejado de pagar por valor de RD$ 1,150,000.00. </a:t>
          </a:r>
          <a:endParaRPr lang="es-DO"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158750</xdr:colOff>
      <xdr:row>2</xdr:row>
      <xdr:rowOff>25400</xdr:rowOff>
    </xdr:from>
    <xdr:to>
      <xdr:col>5</xdr:col>
      <xdr:colOff>869950</xdr:colOff>
      <xdr:row>5</xdr:row>
      <xdr:rowOff>171450</xdr:rowOff>
    </xdr:to>
    <xdr:sp macro="" textlink="">
      <xdr:nvSpPr>
        <xdr:cNvPr id="2" name="TextBox 1">
          <a:extLst>
            <a:ext uri="{FF2B5EF4-FFF2-40B4-BE49-F238E27FC236}">
              <a16:creationId xmlns:a16="http://schemas.microsoft.com/office/drawing/2014/main" id="{E0A1A27E-43BB-4FEF-908E-0FC44B8B3CFE}"/>
            </a:ext>
          </a:extLst>
        </xdr:cNvPr>
        <xdr:cNvSpPr txBox="1"/>
      </xdr:nvSpPr>
      <xdr:spPr>
        <a:xfrm>
          <a:off x="920750" y="393700"/>
          <a:ext cx="8286750" cy="69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DO"/>
            <a:t>5- Melisa Soto, presentó su declaración jurada de impuesto Sobre la Renta del Ejercicio Fiscal 2023, el 30 de Agosto del 2025, se determinó un Impuesto por valor de RD$ 140,000.00. </a:t>
          </a:r>
          <a:endParaRPr lang="es-D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C051-3A7F-4539-9F06-C1F595F49DF6}">
  <dimension ref="E3:F3"/>
  <sheetViews>
    <sheetView zoomScale="113" zoomScaleNormal="100" workbookViewId="0">
      <selection activeCell="M36" sqref="M36"/>
    </sheetView>
  </sheetViews>
  <sheetFormatPr baseColWidth="10" defaultRowHeight="14.5" x14ac:dyDescent="0.35"/>
  <sheetData>
    <row r="3" spans="5:6" x14ac:dyDescent="0.35">
      <c r="E3" s="24"/>
      <c r="F3" s="2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A09F-465C-4C55-92B4-6DDC47687A1D}">
  <dimension ref="A8:G62"/>
  <sheetViews>
    <sheetView tabSelected="1" topLeftCell="B29" workbookViewId="0">
      <selection activeCell="D61" sqref="D61"/>
    </sheetView>
  </sheetViews>
  <sheetFormatPr baseColWidth="10" defaultRowHeight="14.5" x14ac:dyDescent="0.35"/>
  <cols>
    <col min="1" max="1" width="25.08984375" customWidth="1"/>
    <col min="2" max="2" width="41.08984375" customWidth="1"/>
    <col min="3" max="3" width="35.6328125" customWidth="1"/>
    <col min="4" max="4" width="34.90625" customWidth="1"/>
    <col min="5" max="5" width="24.90625" customWidth="1"/>
    <col min="6" max="6" width="34.26953125" customWidth="1"/>
  </cols>
  <sheetData>
    <row r="8" spans="1:3" x14ac:dyDescent="0.35">
      <c r="A8" t="s">
        <v>0</v>
      </c>
    </row>
    <row r="9" spans="1:3" x14ac:dyDescent="0.35">
      <c r="B9" s="1" t="s">
        <v>1</v>
      </c>
      <c r="C9" s="1"/>
    </row>
    <row r="10" spans="1:3" x14ac:dyDescent="0.35">
      <c r="B10" s="2" t="s">
        <v>32</v>
      </c>
    </row>
    <row r="11" spans="1:3" x14ac:dyDescent="0.35">
      <c r="B11" t="s">
        <v>3</v>
      </c>
      <c r="C11" t="s">
        <v>4</v>
      </c>
    </row>
    <row r="12" spans="1:3" x14ac:dyDescent="0.35">
      <c r="B12" s="2" t="s">
        <v>31</v>
      </c>
    </row>
    <row r="13" spans="1:3" x14ac:dyDescent="0.35">
      <c r="B13" s="2" t="s">
        <v>29</v>
      </c>
    </row>
    <row r="14" spans="1:3" x14ac:dyDescent="0.35">
      <c r="B14" s="2" t="s">
        <v>28</v>
      </c>
      <c r="C14" s="3"/>
    </row>
    <row r="15" spans="1:3" x14ac:dyDescent="0.35">
      <c r="A15" t="s">
        <v>5</v>
      </c>
    </row>
    <row r="16" spans="1:3" x14ac:dyDescent="0.35">
      <c r="B16" t="s">
        <v>6</v>
      </c>
    </row>
    <row r="17" spans="1:7" x14ac:dyDescent="0.35">
      <c r="A17" s="4" t="s">
        <v>7</v>
      </c>
      <c r="B17" s="4" t="s">
        <v>8</v>
      </c>
      <c r="C17" s="4" t="s">
        <v>9</v>
      </c>
    </row>
    <row r="18" spans="1:7" x14ac:dyDescent="0.35">
      <c r="A18" s="5">
        <v>90821</v>
      </c>
      <c r="B18" s="6" t="s">
        <v>10</v>
      </c>
      <c r="C18" s="24">
        <v>90</v>
      </c>
      <c r="D18" s="2" t="s">
        <v>11</v>
      </c>
      <c r="F18" s="7" t="s">
        <v>12</v>
      </c>
      <c r="G18" s="8"/>
    </row>
    <row r="20" spans="1:7" x14ac:dyDescent="0.35">
      <c r="B20" s="9" t="s">
        <v>13</v>
      </c>
      <c r="C20" s="2" t="s">
        <v>75</v>
      </c>
      <c r="D20">
        <v>2025</v>
      </c>
    </row>
    <row r="21" spans="1:7" x14ac:dyDescent="0.35">
      <c r="C21" s="9" t="s">
        <v>14</v>
      </c>
      <c r="D21" s="9" t="s">
        <v>15</v>
      </c>
      <c r="E21" t="s">
        <v>16</v>
      </c>
    </row>
    <row r="22" spans="1:7" x14ac:dyDescent="0.35">
      <c r="C22" s="10" t="s">
        <v>76</v>
      </c>
      <c r="D22">
        <v>10</v>
      </c>
      <c r="E22">
        <v>1.1000000000000001</v>
      </c>
    </row>
    <row r="23" spans="1:7" x14ac:dyDescent="0.35">
      <c r="B23" s="2" t="s">
        <v>30</v>
      </c>
      <c r="C23" s="11">
        <v>45047</v>
      </c>
      <c r="D23">
        <v>4</v>
      </c>
      <c r="E23">
        <v>1.1000000000000001</v>
      </c>
    </row>
    <row r="24" spans="1:7" x14ac:dyDescent="0.35">
      <c r="C24" s="11">
        <v>45078</v>
      </c>
      <c r="D24">
        <v>4</v>
      </c>
      <c r="E24">
        <v>1.1000000000000001</v>
      </c>
    </row>
    <row r="25" spans="1:7" x14ac:dyDescent="0.35">
      <c r="C25" s="11">
        <v>45108</v>
      </c>
      <c r="D25">
        <v>4</v>
      </c>
      <c r="E25">
        <v>1.1000000000000001</v>
      </c>
    </row>
    <row r="26" spans="1:7" x14ac:dyDescent="0.35">
      <c r="C26" s="11">
        <v>45139</v>
      </c>
      <c r="D26">
        <v>4</v>
      </c>
      <c r="E26">
        <v>1.1000000000000001</v>
      </c>
    </row>
    <row r="27" spans="1:7" x14ac:dyDescent="0.35">
      <c r="C27" s="11">
        <v>45170</v>
      </c>
      <c r="D27">
        <v>4</v>
      </c>
      <c r="E27">
        <v>1.1000000000000001</v>
      </c>
    </row>
    <row r="28" spans="1:7" x14ac:dyDescent="0.35">
      <c r="C28" s="11">
        <v>45200</v>
      </c>
      <c r="D28">
        <v>4</v>
      </c>
      <c r="E28">
        <v>1.1000000000000001</v>
      </c>
    </row>
    <row r="29" spans="1:7" x14ac:dyDescent="0.35">
      <c r="C29" s="11">
        <v>45231</v>
      </c>
      <c r="D29">
        <v>4</v>
      </c>
      <c r="E29">
        <v>1.1000000000000001</v>
      </c>
    </row>
    <row r="30" spans="1:7" x14ac:dyDescent="0.35">
      <c r="C30" s="11">
        <v>45261</v>
      </c>
      <c r="D30">
        <v>4</v>
      </c>
      <c r="E30">
        <v>1.1000000000000001</v>
      </c>
    </row>
    <row r="31" spans="1:7" x14ac:dyDescent="0.35">
      <c r="B31" t="s">
        <v>33</v>
      </c>
      <c r="C31" s="11">
        <v>45292</v>
      </c>
      <c r="D31">
        <v>4</v>
      </c>
      <c r="E31">
        <v>1.1000000000000001</v>
      </c>
    </row>
    <row r="32" spans="1:7" x14ac:dyDescent="0.35">
      <c r="C32" s="11">
        <v>45323</v>
      </c>
      <c r="D32">
        <v>4</v>
      </c>
      <c r="E32">
        <v>1.1000000000000001</v>
      </c>
    </row>
    <row r="33" spans="1:6" x14ac:dyDescent="0.35">
      <c r="C33" s="11">
        <v>45352</v>
      </c>
      <c r="D33">
        <v>4</v>
      </c>
      <c r="E33">
        <v>1.1000000000000001</v>
      </c>
    </row>
    <row r="34" spans="1:6" x14ac:dyDescent="0.35">
      <c r="C34" s="11">
        <v>45383</v>
      </c>
      <c r="D34">
        <v>4</v>
      </c>
      <c r="E34">
        <v>1.1000000000000001</v>
      </c>
    </row>
    <row r="35" spans="1:6" x14ac:dyDescent="0.35">
      <c r="C35" s="11">
        <v>45413</v>
      </c>
      <c r="D35">
        <v>4</v>
      </c>
      <c r="E35">
        <v>1.1000000000000001</v>
      </c>
    </row>
    <row r="36" spans="1:6" x14ac:dyDescent="0.35">
      <c r="C36" s="11">
        <v>45444</v>
      </c>
      <c r="D36">
        <v>4</v>
      </c>
      <c r="E36">
        <v>1.1000000000000001</v>
      </c>
    </row>
    <row r="37" spans="1:6" x14ac:dyDescent="0.35">
      <c r="C37" s="11">
        <v>45474</v>
      </c>
      <c r="D37">
        <v>4</v>
      </c>
      <c r="E37">
        <v>1.1000000000000001</v>
      </c>
    </row>
    <row r="38" spans="1:6" x14ac:dyDescent="0.35">
      <c r="C38" s="11">
        <v>45505</v>
      </c>
      <c r="D38">
        <v>4</v>
      </c>
      <c r="E38">
        <v>1.1000000000000001</v>
      </c>
    </row>
    <row r="39" spans="1:6" x14ac:dyDescent="0.35">
      <c r="C39" s="11"/>
    </row>
    <row r="40" spans="1:6" ht="15" thickBot="1" x14ac:dyDescent="0.4">
      <c r="C40" s="12" t="s">
        <v>18</v>
      </c>
      <c r="D40" s="13">
        <f>SUM(D22:D38)</f>
        <v>74</v>
      </c>
      <c r="E40" s="13">
        <f>SUM(E22:E38)</f>
        <v>18.7</v>
      </c>
    </row>
    <row r="41" spans="1:6" ht="15" thickTop="1" x14ac:dyDescent="0.35">
      <c r="B41" s="2" t="s">
        <v>33</v>
      </c>
      <c r="C41" s="11">
        <v>45658</v>
      </c>
    </row>
    <row r="42" spans="1:6" x14ac:dyDescent="0.35">
      <c r="C42" s="11">
        <v>45689</v>
      </c>
      <c r="F42">
        <f>E42/100</f>
        <v>0</v>
      </c>
    </row>
    <row r="43" spans="1:6" x14ac:dyDescent="0.35">
      <c r="C43" s="11"/>
      <c r="D43">
        <f>SUM(D41:D42)</f>
        <v>0</v>
      </c>
      <c r="E43">
        <f>SUM(E41:E42)</f>
        <v>0</v>
      </c>
    </row>
    <row r="44" spans="1:6" x14ac:dyDescent="0.35">
      <c r="A44" t="s">
        <v>23</v>
      </c>
      <c r="C44" t="s">
        <v>19</v>
      </c>
      <c r="D44" s="14">
        <f>A18</f>
        <v>90821</v>
      </c>
    </row>
    <row r="45" spans="1:6" x14ac:dyDescent="0.35">
      <c r="C45" t="s">
        <v>20</v>
      </c>
      <c r="D45" s="15">
        <f>D44*E45</f>
        <v>67207.539999999994</v>
      </c>
      <c r="E45" s="16">
        <f>D40%+D43%</f>
        <v>0.74</v>
      </c>
    </row>
    <row r="46" spans="1:6" x14ac:dyDescent="0.35">
      <c r="C46" t="s">
        <v>21</v>
      </c>
      <c r="D46" s="15">
        <f>D44*E46</f>
        <v>16983.526999999998</v>
      </c>
      <c r="E46" s="17">
        <f>E40%+E43%</f>
        <v>0.187</v>
      </c>
    </row>
    <row r="47" spans="1:6" ht="15" thickBot="1" x14ac:dyDescent="0.4">
      <c r="C47" s="18" t="s">
        <v>22</v>
      </c>
      <c r="D47" s="19">
        <f>D44+D45+D46</f>
        <v>175012.06699999998</v>
      </c>
    </row>
    <row r="48" spans="1:6" ht="15" thickTop="1" x14ac:dyDescent="0.35">
      <c r="F48" s="23"/>
    </row>
    <row r="52" spans="2:6" x14ac:dyDescent="0.35">
      <c r="C52" s="1" t="s">
        <v>24</v>
      </c>
    </row>
    <row r="53" spans="2:6" x14ac:dyDescent="0.35">
      <c r="B53" s="2" t="s">
        <v>77</v>
      </c>
      <c r="C53" s="25" t="s">
        <v>78</v>
      </c>
      <c r="D53" s="25"/>
      <c r="E53" s="25"/>
      <c r="F53" s="25"/>
    </row>
    <row r="54" spans="2:6" x14ac:dyDescent="0.35">
      <c r="C54" t="s">
        <v>25</v>
      </c>
      <c r="D54">
        <v>10</v>
      </c>
    </row>
    <row r="55" spans="2:6" x14ac:dyDescent="0.35">
      <c r="C55" s="2" t="s">
        <v>34</v>
      </c>
      <c r="D55">
        <f>COUNT(D23:D38)*4</f>
        <v>64</v>
      </c>
    </row>
    <row r="56" spans="2:6" ht="15" thickBot="1" x14ac:dyDescent="0.4">
      <c r="D56" s="21">
        <f>D54+D55</f>
        <v>74</v>
      </c>
    </row>
    <row r="57" spans="2:6" ht="15" thickTop="1" x14ac:dyDescent="0.35">
      <c r="C57" s="1" t="s">
        <v>26</v>
      </c>
    </row>
    <row r="58" spans="2:6" x14ac:dyDescent="0.35">
      <c r="C58" s="2" t="s">
        <v>35</v>
      </c>
    </row>
    <row r="59" spans="2:6" x14ac:dyDescent="0.35">
      <c r="C59" s="2" t="s">
        <v>36</v>
      </c>
      <c r="D59">
        <f>COUNT(E22:E38)*1.1</f>
        <v>18.700000000000003</v>
      </c>
    </row>
    <row r="60" spans="2:6" ht="15" thickBot="1" x14ac:dyDescent="0.4">
      <c r="D60" s="22">
        <v>0.187</v>
      </c>
    </row>
    <row r="61" spans="2:6" ht="15" thickTop="1" x14ac:dyDescent="0.35"/>
    <row r="62" spans="2:6" x14ac:dyDescent="0.35">
      <c r="D62" s="17"/>
    </row>
  </sheetData>
  <mergeCells count="1">
    <mergeCell ref="C53:F5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0BF4-2270-4718-B413-8406FB565E42}">
  <dimension ref="B8:H53"/>
  <sheetViews>
    <sheetView topLeftCell="A30" workbookViewId="0">
      <selection activeCell="D18" sqref="D18"/>
    </sheetView>
  </sheetViews>
  <sheetFormatPr baseColWidth="10" defaultRowHeight="14.5" x14ac:dyDescent="0.35"/>
  <cols>
    <col min="2" max="2" width="29.453125" customWidth="1"/>
    <col min="3" max="3" width="22" customWidth="1"/>
    <col min="4" max="4" width="36.1796875" customWidth="1"/>
    <col min="5" max="5" width="20.81640625" customWidth="1"/>
    <col min="6" max="6" width="21.08984375" customWidth="1"/>
  </cols>
  <sheetData>
    <row r="8" spans="2:4" x14ac:dyDescent="0.35">
      <c r="B8" t="s">
        <v>0</v>
      </c>
    </row>
    <row r="9" spans="2:4" x14ac:dyDescent="0.35">
      <c r="C9" s="1" t="s">
        <v>1</v>
      </c>
      <c r="D9" s="1"/>
    </row>
    <row r="10" spans="2:4" x14ac:dyDescent="0.35">
      <c r="C10" s="2" t="s">
        <v>37</v>
      </c>
    </row>
    <row r="11" spans="2:4" x14ac:dyDescent="0.35">
      <c r="C11" t="s">
        <v>3</v>
      </c>
      <c r="D11" t="s">
        <v>4</v>
      </c>
    </row>
    <row r="12" spans="2:4" x14ac:dyDescent="0.35">
      <c r="C12" s="2" t="s">
        <v>38</v>
      </c>
    </row>
    <row r="13" spans="2:4" x14ac:dyDescent="0.35">
      <c r="C13" s="2" t="s">
        <v>39</v>
      </c>
    </row>
    <row r="14" spans="2:4" x14ac:dyDescent="0.35">
      <c r="C14" s="2" t="s">
        <v>40</v>
      </c>
      <c r="D14" s="3"/>
    </row>
    <row r="15" spans="2:4" x14ac:dyDescent="0.35">
      <c r="B15" t="s">
        <v>5</v>
      </c>
    </row>
    <row r="16" spans="2:4" x14ac:dyDescent="0.35">
      <c r="C16" t="s">
        <v>6</v>
      </c>
    </row>
    <row r="17" spans="2:8" x14ac:dyDescent="0.35">
      <c r="B17" s="4" t="s">
        <v>7</v>
      </c>
      <c r="C17" s="4" t="s">
        <v>8</v>
      </c>
      <c r="D17" s="4" t="s">
        <v>9</v>
      </c>
    </row>
    <row r="18" spans="2:8" x14ac:dyDescent="0.35">
      <c r="B18" s="5">
        <v>180000</v>
      </c>
      <c r="C18" s="6" t="s">
        <v>10</v>
      </c>
      <c r="D18" s="24">
        <v>90</v>
      </c>
      <c r="E18" s="2" t="s">
        <v>11</v>
      </c>
      <c r="G18" s="7" t="s">
        <v>12</v>
      </c>
      <c r="H18" s="8"/>
    </row>
    <row r="20" spans="2:8" x14ac:dyDescent="0.35">
      <c r="C20" s="9" t="s">
        <v>13</v>
      </c>
      <c r="D20" s="2" t="s">
        <v>73</v>
      </c>
      <c r="E20">
        <v>2025</v>
      </c>
    </row>
    <row r="21" spans="2:8" x14ac:dyDescent="0.35">
      <c r="D21" s="9" t="s">
        <v>14</v>
      </c>
      <c r="E21" s="9" t="s">
        <v>15</v>
      </c>
      <c r="F21" t="s">
        <v>16</v>
      </c>
    </row>
    <row r="22" spans="2:8" x14ac:dyDescent="0.35">
      <c r="D22" s="10" t="s">
        <v>80</v>
      </c>
      <c r="E22">
        <v>10</v>
      </c>
      <c r="F22">
        <v>1.1000000000000001</v>
      </c>
    </row>
    <row r="23" spans="2:8" x14ac:dyDescent="0.35">
      <c r="C23" s="2" t="s">
        <v>33</v>
      </c>
      <c r="D23" s="11">
        <v>45413</v>
      </c>
      <c r="E23">
        <v>4</v>
      </c>
      <c r="F23">
        <v>1.1000000000000001</v>
      </c>
    </row>
    <row r="24" spans="2:8" x14ac:dyDescent="0.35">
      <c r="D24" s="11">
        <v>45444</v>
      </c>
      <c r="E24">
        <v>4</v>
      </c>
      <c r="F24">
        <v>1.1000000000000001</v>
      </c>
    </row>
    <row r="25" spans="2:8" x14ac:dyDescent="0.35">
      <c r="D25" s="11">
        <v>45474</v>
      </c>
      <c r="E25">
        <v>4</v>
      </c>
      <c r="F25">
        <v>1.1000000000000001</v>
      </c>
    </row>
    <row r="26" spans="2:8" x14ac:dyDescent="0.35">
      <c r="D26" s="11">
        <v>45505</v>
      </c>
      <c r="E26">
        <v>4</v>
      </c>
      <c r="F26">
        <v>1.1000000000000001</v>
      </c>
    </row>
    <row r="27" spans="2:8" x14ac:dyDescent="0.35">
      <c r="D27" s="11">
        <v>45536</v>
      </c>
      <c r="E27">
        <v>4</v>
      </c>
      <c r="F27">
        <v>1.1000000000000001</v>
      </c>
    </row>
    <row r="28" spans="2:8" x14ac:dyDescent="0.35">
      <c r="D28" s="11">
        <v>45566</v>
      </c>
      <c r="E28">
        <v>4</v>
      </c>
      <c r="F28">
        <v>1.1000000000000001</v>
      </c>
    </row>
    <row r="29" spans="2:8" x14ac:dyDescent="0.35">
      <c r="D29" s="11">
        <v>45597</v>
      </c>
      <c r="E29">
        <v>4</v>
      </c>
      <c r="F29">
        <v>1.1000000000000001</v>
      </c>
    </row>
    <row r="30" spans="2:8" x14ac:dyDescent="0.35">
      <c r="D30" s="11">
        <v>45640</v>
      </c>
      <c r="E30">
        <v>4</v>
      </c>
      <c r="F30">
        <v>1.1000000000000001</v>
      </c>
    </row>
    <row r="31" spans="2:8" x14ac:dyDescent="0.35">
      <c r="D31" s="11"/>
    </row>
    <row r="32" spans="2:8" ht="15" thickBot="1" x14ac:dyDescent="0.4">
      <c r="D32" s="12" t="s">
        <v>18</v>
      </c>
      <c r="E32" s="13">
        <f>SUM(E22:E31)</f>
        <v>42</v>
      </c>
      <c r="F32" s="13">
        <f>SUM(F22:F31)</f>
        <v>9.8999999999999986</v>
      </c>
    </row>
    <row r="33" spans="2:7" ht="15" thickTop="1" x14ac:dyDescent="0.35">
      <c r="C33" s="2" t="s">
        <v>33</v>
      </c>
      <c r="D33" s="11">
        <v>45658</v>
      </c>
    </row>
    <row r="34" spans="2:7" x14ac:dyDescent="0.35">
      <c r="D34" s="11">
        <v>45689</v>
      </c>
      <c r="G34">
        <f>F34/100</f>
        <v>0</v>
      </c>
    </row>
    <row r="35" spans="2:7" x14ac:dyDescent="0.35">
      <c r="D35" s="11"/>
      <c r="E35">
        <f>SUM(E33:E34)</f>
        <v>0</v>
      </c>
      <c r="F35">
        <f>SUM(F33:F34)</f>
        <v>0</v>
      </c>
    </row>
    <row r="36" spans="2:7" x14ac:dyDescent="0.35">
      <c r="D36" t="s">
        <v>19</v>
      </c>
      <c r="E36" s="14">
        <f>B18</f>
        <v>180000</v>
      </c>
    </row>
    <row r="37" spans="2:7" x14ac:dyDescent="0.35">
      <c r="D37" t="s">
        <v>20</v>
      </c>
      <c r="E37" s="15">
        <f>E36*F37</f>
        <v>75600</v>
      </c>
      <c r="F37" s="16">
        <f>E32%+E35%</f>
        <v>0.42</v>
      </c>
    </row>
    <row r="38" spans="2:7" x14ac:dyDescent="0.35">
      <c r="D38" t="s">
        <v>21</v>
      </c>
      <c r="E38" s="15">
        <f>E36*F38</f>
        <v>17820</v>
      </c>
      <c r="F38" s="17">
        <f>F32%+F35%</f>
        <v>9.8999999999999991E-2</v>
      </c>
    </row>
    <row r="39" spans="2:7" ht="15" thickBot="1" x14ac:dyDescent="0.4">
      <c r="D39" s="18" t="s">
        <v>22</v>
      </c>
      <c r="E39" s="19">
        <f>E36+E37+E38</f>
        <v>273420</v>
      </c>
    </row>
    <row r="40" spans="2:7" ht="15" thickTop="1" x14ac:dyDescent="0.35"/>
    <row r="43" spans="2:7" x14ac:dyDescent="0.35">
      <c r="B43" t="s">
        <v>23</v>
      </c>
    </row>
    <row r="44" spans="2:7" x14ac:dyDescent="0.35">
      <c r="D44" s="1" t="s">
        <v>24</v>
      </c>
    </row>
    <row r="45" spans="2:7" x14ac:dyDescent="0.35">
      <c r="C45" s="2" t="s">
        <v>74</v>
      </c>
      <c r="D45" s="2" t="s">
        <v>79</v>
      </c>
    </row>
    <row r="46" spans="2:7" x14ac:dyDescent="0.35">
      <c r="D46" t="s">
        <v>25</v>
      </c>
      <c r="E46">
        <v>10</v>
      </c>
    </row>
    <row r="47" spans="2:7" x14ac:dyDescent="0.35">
      <c r="D47" s="2" t="s">
        <v>41</v>
      </c>
      <c r="E47">
        <f>COUNT(E23:E30)*4</f>
        <v>32</v>
      </c>
    </row>
    <row r="48" spans="2:7" ht="15" thickBot="1" x14ac:dyDescent="0.4">
      <c r="E48" s="20" t="s">
        <v>42</v>
      </c>
    </row>
    <row r="49" spans="4:5" ht="15" thickTop="1" x14ac:dyDescent="0.35">
      <c r="D49" s="1" t="s">
        <v>26</v>
      </c>
    </row>
    <row r="50" spans="4:5" x14ac:dyDescent="0.35">
      <c r="D50" s="2" t="s">
        <v>27</v>
      </c>
    </row>
    <row r="51" spans="4:5" x14ac:dyDescent="0.35">
      <c r="D51" s="2" t="s">
        <v>43</v>
      </c>
      <c r="E51">
        <f>COUNT(F22:F30)*1.1</f>
        <v>9.9</v>
      </c>
    </row>
    <row r="52" spans="4:5" ht="15" thickBot="1" x14ac:dyDescent="0.4">
      <c r="E52" s="20" t="s">
        <v>44</v>
      </c>
    </row>
    <row r="53" spans="4:5" ht="15" thickTop="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0A216-C9BF-4F3D-9DDB-D89DFC9D8C19}">
  <dimension ref="B8:H49"/>
  <sheetViews>
    <sheetView topLeftCell="A26" workbookViewId="0">
      <selection activeCell="E40" sqref="E40"/>
    </sheetView>
  </sheetViews>
  <sheetFormatPr baseColWidth="10" defaultRowHeight="14.5" x14ac:dyDescent="0.35"/>
  <cols>
    <col min="3" max="3" width="32.08984375" customWidth="1"/>
    <col min="4" max="4" width="30.54296875" customWidth="1"/>
    <col min="5" max="5" width="18.26953125" customWidth="1"/>
    <col min="6" max="6" width="20.1796875" customWidth="1"/>
  </cols>
  <sheetData>
    <row r="8" spans="2:4" x14ac:dyDescent="0.35">
      <c r="B8" t="s">
        <v>0</v>
      </c>
    </row>
    <row r="9" spans="2:4" x14ac:dyDescent="0.35">
      <c r="C9" s="1" t="s">
        <v>1</v>
      </c>
      <c r="D9" s="1"/>
    </row>
    <row r="10" spans="2:4" x14ac:dyDescent="0.35">
      <c r="C10" s="2" t="s">
        <v>2</v>
      </c>
    </row>
    <row r="11" spans="2:4" x14ac:dyDescent="0.35">
      <c r="C11" t="s">
        <v>3</v>
      </c>
      <c r="D11" t="s">
        <v>4</v>
      </c>
    </row>
    <row r="12" spans="2:4" x14ac:dyDescent="0.35">
      <c r="C12" s="2" t="s">
        <v>38</v>
      </c>
    </row>
    <row r="13" spans="2:4" x14ac:dyDescent="0.35">
      <c r="C13" s="2" t="s">
        <v>45</v>
      </c>
    </row>
    <row r="14" spans="2:4" x14ac:dyDescent="0.35">
      <c r="C14" s="2" t="s">
        <v>46</v>
      </c>
      <c r="D14" s="3"/>
    </row>
    <row r="15" spans="2:4" x14ac:dyDescent="0.35">
      <c r="B15" t="s">
        <v>5</v>
      </c>
    </row>
    <row r="16" spans="2:4" x14ac:dyDescent="0.35">
      <c r="C16" t="s">
        <v>6</v>
      </c>
    </row>
    <row r="17" spans="2:8" x14ac:dyDescent="0.35">
      <c r="B17" s="4" t="s">
        <v>7</v>
      </c>
      <c r="C17" s="4" t="s">
        <v>8</v>
      </c>
      <c r="D17" s="4" t="s">
        <v>9</v>
      </c>
    </row>
    <row r="18" spans="2:8" x14ac:dyDescent="0.35">
      <c r="B18" s="5">
        <v>820000</v>
      </c>
      <c r="C18" s="6" t="s">
        <v>10</v>
      </c>
      <c r="D18" s="24">
        <v>90</v>
      </c>
      <c r="E18" s="2" t="s">
        <v>11</v>
      </c>
      <c r="G18" s="7" t="s">
        <v>12</v>
      </c>
      <c r="H18" s="8"/>
    </row>
    <row r="20" spans="2:8" x14ac:dyDescent="0.35">
      <c r="C20" s="9" t="s">
        <v>13</v>
      </c>
      <c r="D20" s="2" t="s">
        <v>70</v>
      </c>
      <c r="E20">
        <v>2025</v>
      </c>
    </row>
    <row r="21" spans="2:8" x14ac:dyDescent="0.35">
      <c r="D21" s="9" t="s">
        <v>14</v>
      </c>
      <c r="E21" s="9" t="s">
        <v>15</v>
      </c>
      <c r="F21" t="s">
        <v>16</v>
      </c>
    </row>
    <row r="22" spans="2:8" x14ac:dyDescent="0.35">
      <c r="D22" s="10" t="s">
        <v>71</v>
      </c>
      <c r="E22">
        <v>10</v>
      </c>
      <c r="F22">
        <v>1.1000000000000001</v>
      </c>
    </row>
    <row r="23" spans="2:8" x14ac:dyDescent="0.35">
      <c r="C23" s="2" t="s">
        <v>33</v>
      </c>
      <c r="D23" s="11">
        <v>45778</v>
      </c>
      <c r="E23">
        <v>4</v>
      </c>
      <c r="F23">
        <v>1.1000000000000001</v>
      </c>
    </row>
    <row r="24" spans="2:8" x14ac:dyDescent="0.35">
      <c r="D24" s="11">
        <v>45809</v>
      </c>
      <c r="E24">
        <v>4</v>
      </c>
      <c r="F24">
        <v>1.1000000000000001</v>
      </c>
    </row>
    <row r="25" spans="2:8" x14ac:dyDescent="0.35">
      <c r="D25" s="11">
        <v>45839</v>
      </c>
      <c r="E25">
        <v>4</v>
      </c>
      <c r="F25">
        <v>1.1000000000000001</v>
      </c>
    </row>
    <row r="26" spans="2:8" x14ac:dyDescent="0.35">
      <c r="D26" s="11"/>
    </row>
    <row r="27" spans="2:8" ht="15" thickBot="1" x14ac:dyDescent="0.4">
      <c r="D27" s="12" t="s">
        <v>18</v>
      </c>
      <c r="E27" s="13">
        <f>SUM(E22:E26)</f>
        <v>22</v>
      </c>
      <c r="F27" s="13">
        <f>SUM(F22:F26)</f>
        <v>4.4000000000000004</v>
      </c>
    </row>
    <row r="28" spans="2:8" ht="15" thickTop="1" x14ac:dyDescent="0.35">
      <c r="C28" s="2" t="s">
        <v>33</v>
      </c>
      <c r="D28" s="11">
        <v>45658</v>
      </c>
    </row>
    <row r="29" spans="2:8" x14ac:dyDescent="0.35">
      <c r="D29" s="11">
        <v>45689</v>
      </c>
      <c r="G29">
        <f>F29/100</f>
        <v>0</v>
      </c>
    </row>
    <row r="30" spans="2:8" x14ac:dyDescent="0.35">
      <c r="D30" s="11"/>
      <c r="E30">
        <f>SUM(E28:E29)</f>
        <v>0</v>
      </c>
      <c r="F30">
        <f>SUM(F28:F29)</f>
        <v>0</v>
      </c>
    </row>
    <row r="31" spans="2:8" x14ac:dyDescent="0.35">
      <c r="D31" t="s">
        <v>19</v>
      </c>
      <c r="E31" s="14">
        <f>B18</f>
        <v>820000</v>
      </c>
    </row>
    <row r="32" spans="2:8" x14ac:dyDescent="0.35">
      <c r="D32" t="s">
        <v>20</v>
      </c>
      <c r="E32" s="15">
        <f>E31*F32</f>
        <v>180400</v>
      </c>
      <c r="F32" s="16">
        <f>E27%+E30%</f>
        <v>0.22</v>
      </c>
    </row>
    <row r="33" spans="2:6" x14ac:dyDescent="0.35">
      <c r="D33" t="s">
        <v>21</v>
      </c>
      <c r="E33" s="15">
        <f>E31*F33</f>
        <v>36080</v>
      </c>
      <c r="F33" s="17">
        <f>F27%+F30%</f>
        <v>4.4000000000000004E-2</v>
      </c>
    </row>
    <row r="34" spans="2:6" ht="15" thickBot="1" x14ac:dyDescent="0.4">
      <c r="D34" s="18" t="s">
        <v>22</v>
      </c>
      <c r="E34" s="19">
        <f>E31+E32+E33</f>
        <v>1036480</v>
      </c>
    </row>
    <row r="35" spans="2:6" ht="15" thickTop="1" x14ac:dyDescent="0.35"/>
    <row r="38" spans="2:6" x14ac:dyDescent="0.35">
      <c r="B38" t="s">
        <v>23</v>
      </c>
    </row>
    <row r="39" spans="2:6" x14ac:dyDescent="0.35">
      <c r="D39" s="1" t="s">
        <v>24</v>
      </c>
    </row>
    <row r="40" spans="2:6" x14ac:dyDescent="0.35">
      <c r="C40" s="2" t="s">
        <v>72</v>
      </c>
      <c r="D40" s="2" t="s">
        <v>81</v>
      </c>
    </row>
    <row r="41" spans="2:6" x14ac:dyDescent="0.35">
      <c r="D41" t="s">
        <v>25</v>
      </c>
      <c r="E41">
        <v>10</v>
      </c>
    </row>
    <row r="42" spans="2:6" x14ac:dyDescent="0.35">
      <c r="D42" s="2" t="s">
        <v>51</v>
      </c>
      <c r="E42">
        <f>3*4</f>
        <v>12</v>
      </c>
    </row>
    <row r="43" spans="2:6" ht="15" thickBot="1" x14ac:dyDescent="0.4">
      <c r="E43" s="20" t="s">
        <v>52</v>
      </c>
    </row>
    <row r="44" spans="2:6" ht="15" thickTop="1" x14ac:dyDescent="0.35">
      <c r="D44" s="1" t="s">
        <v>26</v>
      </c>
    </row>
    <row r="45" spans="2:6" x14ac:dyDescent="0.35">
      <c r="D45" s="2" t="s">
        <v>27</v>
      </c>
    </row>
    <row r="46" spans="2:6" x14ac:dyDescent="0.35">
      <c r="D46" s="2" t="s">
        <v>49</v>
      </c>
      <c r="E46">
        <f>4*1.1</f>
        <v>4.4000000000000004</v>
      </c>
    </row>
    <row r="47" spans="2:6" ht="15" thickBot="1" x14ac:dyDescent="0.4">
      <c r="E47" s="20" t="s">
        <v>50</v>
      </c>
    </row>
    <row r="48" spans="2:6" ht="15" thickTop="1" x14ac:dyDescent="0.35"/>
    <row r="49" spans="5:5" x14ac:dyDescent="0.35">
      <c r="E49">
        <f>E41+E42+E46</f>
        <v>26.4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7842-FEA3-40B0-BAAC-6DA980BE1047}">
  <dimension ref="B8:J49"/>
  <sheetViews>
    <sheetView topLeftCell="A23" workbookViewId="0">
      <selection activeCell="D23" sqref="D23"/>
    </sheetView>
  </sheetViews>
  <sheetFormatPr baseColWidth="10" defaultRowHeight="14.5" x14ac:dyDescent="0.35"/>
  <cols>
    <col min="2" max="2" width="11.453125" bestFit="1" customWidth="1"/>
    <col min="3" max="3" width="35.7265625" customWidth="1"/>
    <col min="4" max="4" width="35.1796875" customWidth="1"/>
    <col min="5" max="5" width="14.08984375" customWidth="1"/>
  </cols>
  <sheetData>
    <row r="8" spans="2:4" x14ac:dyDescent="0.35">
      <c r="B8" t="s">
        <v>0</v>
      </c>
    </row>
    <row r="9" spans="2:4" x14ac:dyDescent="0.35">
      <c r="C9" s="1" t="s">
        <v>1</v>
      </c>
      <c r="D9" s="1"/>
    </row>
    <row r="10" spans="2:4" x14ac:dyDescent="0.35">
      <c r="C10" s="2" t="s">
        <v>2</v>
      </c>
    </row>
    <row r="11" spans="2:4" x14ac:dyDescent="0.35">
      <c r="C11" t="s">
        <v>3</v>
      </c>
      <c r="D11" t="s">
        <v>4</v>
      </c>
    </row>
    <row r="12" spans="2:4" x14ac:dyDescent="0.35">
      <c r="C12" s="2" t="s">
        <v>38</v>
      </c>
    </row>
    <row r="13" spans="2:4" x14ac:dyDescent="0.35">
      <c r="C13" s="2" t="s">
        <v>53</v>
      </c>
    </row>
    <row r="14" spans="2:4" x14ac:dyDescent="0.35">
      <c r="C14" s="2" t="s">
        <v>54</v>
      </c>
      <c r="D14" s="3"/>
    </row>
    <row r="15" spans="2:4" x14ac:dyDescent="0.35">
      <c r="B15" t="s">
        <v>5</v>
      </c>
    </row>
    <row r="16" spans="2:4" x14ac:dyDescent="0.35">
      <c r="C16" t="s">
        <v>6</v>
      </c>
    </row>
    <row r="17" spans="2:8" x14ac:dyDescent="0.35">
      <c r="B17" s="4" t="s">
        <v>7</v>
      </c>
      <c r="C17" s="4" t="s">
        <v>8</v>
      </c>
      <c r="D17" s="4" t="s">
        <v>9</v>
      </c>
    </row>
    <row r="18" spans="2:8" x14ac:dyDescent="0.35">
      <c r="B18" s="5">
        <v>1150000</v>
      </c>
      <c r="C18" s="6" t="s">
        <v>10</v>
      </c>
      <c r="D18">
        <v>90</v>
      </c>
      <c r="E18" s="2" t="s">
        <v>11</v>
      </c>
      <c r="G18" s="7" t="s">
        <v>12</v>
      </c>
      <c r="H18" s="8"/>
    </row>
    <row r="20" spans="2:8" x14ac:dyDescent="0.35">
      <c r="C20" s="9" t="s">
        <v>13</v>
      </c>
      <c r="D20" s="2" t="s">
        <v>68</v>
      </c>
      <c r="E20">
        <v>2025</v>
      </c>
    </row>
    <row r="21" spans="2:8" x14ac:dyDescent="0.35">
      <c r="D21" s="9" t="s">
        <v>14</v>
      </c>
      <c r="E21" s="9" t="s">
        <v>15</v>
      </c>
      <c r="F21" t="s">
        <v>16</v>
      </c>
    </row>
    <row r="22" spans="2:8" x14ac:dyDescent="0.35">
      <c r="D22" s="10" t="s">
        <v>69</v>
      </c>
      <c r="E22">
        <v>10</v>
      </c>
      <c r="F22">
        <v>1.1000000000000001</v>
      </c>
    </row>
    <row r="23" spans="2:8" x14ac:dyDescent="0.35">
      <c r="C23" s="2" t="s">
        <v>17</v>
      </c>
      <c r="D23" s="11">
        <v>45778</v>
      </c>
      <c r="E23">
        <v>4</v>
      </c>
      <c r="F23">
        <v>1.1000000000000001</v>
      </c>
    </row>
    <row r="24" spans="2:8" x14ac:dyDescent="0.35">
      <c r="D24" s="11">
        <v>45809</v>
      </c>
      <c r="E24">
        <v>4</v>
      </c>
      <c r="F24">
        <v>1.1000000000000001</v>
      </c>
    </row>
    <row r="25" spans="2:8" x14ac:dyDescent="0.35">
      <c r="D25" s="11">
        <v>45839</v>
      </c>
      <c r="E25">
        <v>4</v>
      </c>
      <c r="F25">
        <v>1.1000000000000001</v>
      </c>
    </row>
    <row r="26" spans="2:8" x14ac:dyDescent="0.35">
      <c r="D26" s="11">
        <v>45870</v>
      </c>
      <c r="E26">
        <v>4</v>
      </c>
      <c r="F26">
        <v>1.1000000000000001</v>
      </c>
    </row>
    <row r="27" spans="2:8" x14ac:dyDescent="0.35">
      <c r="D27" s="11"/>
    </row>
    <row r="28" spans="2:8" ht="15" thickBot="1" x14ac:dyDescent="0.4">
      <c r="D28" s="12" t="s">
        <v>18</v>
      </c>
      <c r="E28" s="13">
        <f>SUM(E22:E27)</f>
        <v>26</v>
      </c>
      <c r="F28" s="13">
        <f>SUM(F22:F27)</f>
        <v>5.5</v>
      </c>
    </row>
    <row r="29" spans="2:8" ht="15" thickTop="1" x14ac:dyDescent="0.35">
      <c r="C29" s="2" t="s">
        <v>17</v>
      </c>
      <c r="D29" s="11">
        <v>45658</v>
      </c>
    </row>
    <row r="30" spans="2:8" x14ac:dyDescent="0.35">
      <c r="D30" s="11">
        <v>45689</v>
      </c>
      <c r="G30">
        <f>F30/100</f>
        <v>0</v>
      </c>
    </row>
    <row r="31" spans="2:8" x14ac:dyDescent="0.35">
      <c r="D31" s="11"/>
      <c r="E31">
        <f>SUM(E29:E30)</f>
        <v>0</v>
      </c>
      <c r="F31">
        <f>SUM(F29:F30)</f>
        <v>0</v>
      </c>
    </row>
    <row r="32" spans="2:8" x14ac:dyDescent="0.35">
      <c r="D32" t="s">
        <v>19</v>
      </c>
      <c r="E32" s="14">
        <f>B18</f>
        <v>1150000</v>
      </c>
    </row>
    <row r="33" spans="2:10" x14ac:dyDescent="0.35">
      <c r="D33" t="s">
        <v>20</v>
      </c>
      <c r="E33" s="15">
        <f>E32*F33</f>
        <v>299000</v>
      </c>
      <c r="F33" s="16">
        <f>E28%+E31%</f>
        <v>0.26</v>
      </c>
    </row>
    <row r="34" spans="2:10" x14ac:dyDescent="0.35">
      <c r="D34" t="s">
        <v>21</v>
      </c>
      <c r="E34" s="15">
        <f>E32*F34</f>
        <v>63250</v>
      </c>
      <c r="F34" s="17">
        <f>F28%+F31%</f>
        <v>5.5E-2</v>
      </c>
    </row>
    <row r="35" spans="2:10" ht="15" thickBot="1" x14ac:dyDescent="0.4">
      <c r="D35" s="18" t="s">
        <v>22</v>
      </c>
      <c r="E35" s="19">
        <f>E32+E33+E34</f>
        <v>1512250</v>
      </c>
    </row>
    <row r="36" spans="2:10" ht="15" thickTop="1" x14ac:dyDescent="0.35"/>
    <row r="39" spans="2:10" x14ac:dyDescent="0.35">
      <c r="B39" t="s">
        <v>23</v>
      </c>
    </row>
    <row r="40" spans="2:10" x14ac:dyDescent="0.35">
      <c r="D40" s="1" t="s">
        <v>24</v>
      </c>
    </row>
    <row r="41" spans="2:10" x14ac:dyDescent="0.35">
      <c r="C41" s="2" t="s">
        <v>57</v>
      </c>
      <c r="D41" s="25" t="s">
        <v>58</v>
      </c>
      <c r="E41" s="25"/>
      <c r="F41" s="25"/>
      <c r="G41" s="25"/>
      <c r="H41" s="25"/>
      <c r="I41" s="25"/>
      <c r="J41" s="25"/>
    </row>
    <row r="42" spans="2:10" x14ac:dyDescent="0.35">
      <c r="D42" t="s">
        <v>25</v>
      </c>
      <c r="E42">
        <v>10</v>
      </c>
    </row>
    <row r="43" spans="2:10" x14ac:dyDescent="0.35">
      <c r="D43" s="2" t="s">
        <v>47</v>
      </c>
      <c r="E43">
        <f>4*4</f>
        <v>16</v>
      </c>
    </row>
    <row r="44" spans="2:10" ht="15" thickBot="1" x14ac:dyDescent="0.4">
      <c r="E44" s="20" t="s">
        <v>48</v>
      </c>
    </row>
    <row r="45" spans="2:10" ht="15" thickTop="1" x14ac:dyDescent="0.35">
      <c r="D45" s="1" t="s">
        <v>26</v>
      </c>
    </row>
    <row r="46" spans="2:10" x14ac:dyDescent="0.35">
      <c r="D46" s="2" t="s">
        <v>27</v>
      </c>
    </row>
    <row r="47" spans="2:10" x14ac:dyDescent="0.35">
      <c r="D47" s="2" t="s">
        <v>55</v>
      </c>
      <c r="E47">
        <f>5*1.1</f>
        <v>5.5</v>
      </c>
    </row>
    <row r="48" spans="2:10" ht="15" thickBot="1" x14ac:dyDescent="0.4">
      <c r="E48" s="20" t="s">
        <v>56</v>
      </c>
    </row>
    <row r="49" ht="15" thickTop="1" x14ac:dyDescent="0.35"/>
  </sheetData>
  <mergeCells count="1">
    <mergeCell ref="D41:J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18881-BB01-40A9-8BB3-3EAF1160EAD8}">
  <dimension ref="B8:H62"/>
  <sheetViews>
    <sheetView topLeftCell="A40" workbookViewId="0">
      <selection activeCell="D54" sqref="D54:H54"/>
    </sheetView>
  </sheetViews>
  <sheetFormatPr baseColWidth="10" defaultRowHeight="14.5" x14ac:dyDescent="0.35"/>
  <cols>
    <col min="3" max="3" width="42.7265625" customWidth="1"/>
    <col min="4" max="4" width="54.08984375" customWidth="1"/>
    <col min="5" max="5" width="15.54296875" customWidth="1"/>
    <col min="6" max="6" width="18.6328125" customWidth="1"/>
  </cols>
  <sheetData>
    <row r="8" spans="2:4" x14ac:dyDescent="0.35">
      <c r="B8" t="s">
        <v>0</v>
      </c>
    </row>
    <row r="9" spans="2:4" x14ac:dyDescent="0.35">
      <c r="C9" s="1" t="s">
        <v>1</v>
      </c>
      <c r="D9" s="1"/>
    </row>
    <row r="10" spans="2:4" x14ac:dyDescent="0.35">
      <c r="C10" s="2" t="s">
        <v>37</v>
      </c>
    </row>
    <row r="11" spans="2:4" x14ac:dyDescent="0.35">
      <c r="C11" t="s">
        <v>3</v>
      </c>
      <c r="D11" t="s">
        <v>4</v>
      </c>
    </row>
    <row r="12" spans="2:4" x14ac:dyDescent="0.35">
      <c r="C12" s="2" t="s">
        <v>38</v>
      </c>
    </row>
    <row r="13" spans="2:4" x14ac:dyDescent="0.35">
      <c r="C13" s="2" t="s">
        <v>59</v>
      </c>
    </row>
    <row r="14" spans="2:4" x14ac:dyDescent="0.35">
      <c r="C14" s="2" t="s">
        <v>60</v>
      </c>
      <c r="D14" s="3"/>
    </row>
    <row r="15" spans="2:4" x14ac:dyDescent="0.35">
      <c r="B15" t="s">
        <v>5</v>
      </c>
    </row>
    <row r="16" spans="2:4" x14ac:dyDescent="0.35">
      <c r="C16" t="s">
        <v>6</v>
      </c>
    </row>
    <row r="17" spans="2:8" x14ac:dyDescent="0.35">
      <c r="B17" s="4" t="s">
        <v>7</v>
      </c>
      <c r="C17" s="4" t="s">
        <v>8</v>
      </c>
      <c r="D17" s="4" t="s">
        <v>9</v>
      </c>
    </row>
    <row r="18" spans="2:8" x14ac:dyDescent="0.35">
      <c r="B18" s="5">
        <v>140000</v>
      </c>
      <c r="C18" s="6" t="s">
        <v>61</v>
      </c>
      <c r="D18">
        <v>90</v>
      </c>
      <c r="E18" s="2" t="s">
        <v>11</v>
      </c>
      <c r="G18" s="7" t="s">
        <v>12</v>
      </c>
      <c r="H18" s="8"/>
    </row>
    <row r="20" spans="2:8" x14ac:dyDescent="0.35">
      <c r="C20" s="9" t="s">
        <v>13</v>
      </c>
      <c r="D20" s="2" t="s">
        <v>67</v>
      </c>
      <c r="E20">
        <v>2025</v>
      </c>
    </row>
    <row r="21" spans="2:8" x14ac:dyDescent="0.35">
      <c r="D21" s="9" t="s">
        <v>14</v>
      </c>
      <c r="E21" s="9" t="s">
        <v>15</v>
      </c>
      <c r="F21" t="s">
        <v>16</v>
      </c>
    </row>
    <row r="22" spans="2:8" x14ac:dyDescent="0.35">
      <c r="D22" s="10" t="s">
        <v>62</v>
      </c>
      <c r="E22">
        <v>10</v>
      </c>
      <c r="F22">
        <v>1.1000000000000001</v>
      </c>
    </row>
    <row r="23" spans="2:8" x14ac:dyDescent="0.35">
      <c r="C23" s="2" t="s">
        <v>33</v>
      </c>
      <c r="D23" s="11">
        <v>45413</v>
      </c>
      <c r="E23">
        <v>4</v>
      </c>
      <c r="F23">
        <v>1.1000000000000001</v>
      </c>
    </row>
    <row r="24" spans="2:8" x14ac:dyDescent="0.35">
      <c r="D24" s="11">
        <v>45444</v>
      </c>
      <c r="E24">
        <v>4</v>
      </c>
      <c r="F24">
        <v>1.1000000000000001</v>
      </c>
    </row>
    <row r="25" spans="2:8" x14ac:dyDescent="0.35">
      <c r="D25" s="11">
        <v>45474</v>
      </c>
      <c r="E25">
        <v>4</v>
      </c>
      <c r="F25">
        <v>1.1000000000000001</v>
      </c>
    </row>
    <row r="26" spans="2:8" x14ac:dyDescent="0.35">
      <c r="D26" s="11">
        <v>45505</v>
      </c>
      <c r="E26">
        <v>4</v>
      </c>
      <c r="F26">
        <v>1.1000000000000001</v>
      </c>
    </row>
    <row r="27" spans="2:8" x14ac:dyDescent="0.35">
      <c r="D27" s="11">
        <v>45536</v>
      </c>
      <c r="E27">
        <v>4</v>
      </c>
      <c r="F27">
        <v>1.1000000000000001</v>
      </c>
    </row>
    <row r="28" spans="2:8" x14ac:dyDescent="0.35">
      <c r="D28" s="11">
        <v>45566</v>
      </c>
      <c r="E28">
        <v>4</v>
      </c>
      <c r="F28">
        <v>1.1000000000000001</v>
      </c>
    </row>
    <row r="29" spans="2:8" x14ac:dyDescent="0.35">
      <c r="D29" s="11">
        <v>45597</v>
      </c>
      <c r="E29">
        <v>4</v>
      </c>
      <c r="F29">
        <v>1.1000000000000001</v>
      </c>
    </row>
    <row r="30" spans="2:8" x14ac:dyDescent="0.35">
      <c r="D30" s="11">
        <v>45640</v>
      </c>
      <c r="E30">
        <v>4</v>
      </c>
      <c r="F30">
        <v>1.1000000000000001</v>
      </c>
    </row>
    <row r="31" spans="2:8" x14ac:dyDescent="0.35">
      <c r="D31" s="11">
        <v>45658</v>
      </c>
      <c r="E31">
        <v>4</v>
      </c>
      <c r="F31">
        <v>1.1000000000000001</v>
      </c>
    </row>
    <row r="32" spans="2:8" x14ac:dyDescent="0.35">
      <c r="D32" s="11">
        <v>45689</v>
      </c>
      <c r="E32">
        <v>4</v>
      </c>
      <c r="F32">
        <v>1.1000000000000001</v>
      </c>
    </row>
    <row r="33" spans="3:7" x14ac:dyDescent="0.35">
      <c r="D33" s="11">
        <v>45717</v>
      </c>
      <c r="E33">
        <v>4</v>
      </c>
      <c r="F33">
        <v>1.1000000000000001</v>
      </c>
    </row>
    <row r="34" spans="3:7" x14ac:dyDescent="0.35">
      <c r="D34" s="11">
        <v>45748</v>
      </c>
      <c r="E34">
        <v>4</v>
      </c>
      <c r="F34">
        <v>1.1000000000000001</v>
      </c>
    </row>
    <row r="35" spans="3:7" x14ac:dyDescent="0.35">
      <c r="D35" s="11">
        <v>45778</v>
      </c>
      <c r="E35">
        <v>4</v>
      </c>
      <c r="F35">
        <v>1.1000000000000001</v>
      </c>
    </row>
    <row r="36" spans="3:7" x14ac:dyDescent="0.35">
      <c r="D36" s="11">
        <v>45809</v>
      </c>
      <c r="E36">
        <v>4</v>
      </c>
      <c r="F36">
        <v>1.1000000000000001</v>
      </c>
    </row>
    <row r="37" spans="3:7" x14ac:dyDescent="0.35">
      <c r="D37" s="11">
        <v>45839</v>
      </c>
      <c r="E37">
        <v>4</v>
      </c>
      <c r="F37">
        <v>1.1000000000000001</v>
      </c>
    </row>
    <row r="38" spans="3:7" x14ac:dyDescent="0.35">
      <c r="D38" s="11">
        <v>45870</v>
      </c>
      <c r="E38">
        <v>4</v>
      </c>
      <c r="F38">
        <v>1.1000000000000001</v>
      </c>
    </row>
    <row r="39" spans="3:7" x14ac:dyDescent="0.35">
      <c r="D39" s="11"/>
    </row>
    <row r="40" spans="3:7" x14ac:dyDescent="0.35">
      <c r="D40" s="11"/>
    </row>
    <row r="41" spans="3:7" ht="15" thickBot="1" x14ac:dyDescent="0.4">
      <c r="D41" s="12" t="s">
        <v>18</v>
      </c>
      <c r="E41" s="13">
        <f>SUM(E22:E40)</f>
        <v>74</v>
      </c>
      <c r="F41" s="13">
        <f>SUM(F22:F40)</f>
        <v>18.7</v>
      </c>
    </row>
    <row r="42" spans="3:7" ht="15" thickTop="1" x14ac:dyDescent="0.35">
      <c r="C42" s="2" t="s">
        <v>33</v>
      </c>
      <c r="D42" s="11">
        <v>45658</v>
      </c>
    </row>
    <row r="43" spans="3:7" x14ac:dyDescent="0.35">
      <c r="D43" s="11">
        <v>45689</v>
      </c>
      <c r="G43">
        <f>F43/100</f>
        <v>0</v>
      </c>
    </row>
    <row r="44" spans="3:7" x14ac:dyDescent="0.35">
      <c r="D44" s="11"/>
      <c r="E44">
        <f>SUM(E42:E43)</f>
        <v>0</v>
      </c>
      <c r="F44">
        <f>SUM(F42:F43)</f>
        <v>0</v>
      </c>
    </row>
    <row r="45" spans="3:7" x14ac:dyDescent="0.35">
      <c r="D45" t="s">
        <v>19</v>
      </c>
      <c r="E45" s="14">
        <f>B18</f>
        <v>140000</v>
      </c>
    </row>
    <row r="46" spans="3:7" x14ac:dyDescent="0.35">
      <c r="D46" t="s">
        <v>20</v>
      </c>
      <c r="E46" s="15">
        <f>E45*F46</f>
        <v>103600</v>
      </c>
      <c r="F46" s="16">
        <f>E41%+E44%</f>
        <v>0.74</v>
      </c>
    </row>
    <row r="47" spans="3:7" x14ac:dyDescent="0.35">
      <c r="D47" t="s">
        <v>21</v>
      </c>
      <c r="E47" s="15">
        <f>E45*F47</f>
        <v>26180</v>
      </c>
      <c r="F47" s="17">
        <f>F41%+F44%</f>
        <v>0.187</v>
      </c>
    </row>
    <row r="48" spans="3:7" ht="15" thickBot="1" x14ac:dyDescent="0.4">
      <c r="D48" s="18" t="s">
        <v>22</v>
      </c>
      <c r="E48" s="19">
        <f>E45+E46+E47</f>
        <v>269780</v>
      </c>
    </row>
    <row r="49" spans="2:8" ht="15" thickTop="1" x14ac:dyDescent="0.35"/>
    <row r="51" spans="2:8" x14ac:dyDescent="0.35">
      <c r="B51" t="s">
        <v>23</v>
      </c>
    </row>
    <row r="53" spans="2:8" x14ac:dyDescent="0.35">
      <c r="D53" s="1" t="s">
        <v>24</v>
      </c>
    </row>
    <row r="54" spans="2:8" x14ac:dyDescent="0.35">
      <c r="C54" s="2" t="s">
        <v>82</v>
      </c>
      <c r="D54" s="25" t="s">
        <v>64</v>
      </c>
      <c r="E54" s="25"/>
      <c r="F54" s="25"/>
      <c r="G54" s="25"/>
      <c r="H54" s="25"/>
    </row>
    <row r="55" spans="2:8" x14ac:dyDescent="0.35">
      <c r="D55" t="s">
        <v>25</v>
      </c>
      <c r="E55">
        <v>10</v>
      </c>
    </row>
    <row r="56" spans="2:8" x14ac:dyDescent="0.35">
      <c r="D56" s="2" t="s">
        <v>66</v>
      </c>
      <c r="E56">
        <f>COUNT(E23:E38)*4</f>
        <v>64</v>
      </c>
    </row>
    <row r="57" spans="2:8" ht="15" thickBot="1" x14ac:dyDescent="0.4">
      <c r="E57" s="20" t="s">
        <v>63</v>
      </c>
    </row>
    <row r="58" spans="2:8" ht="15" thickTop="1" x14ac:dyDescent="0.35">
      <c r="D58" s="1" t="s">
        <v>26</v>
      </c>
    </row>
    <row r="59" spans="2:8" x14ac:dyDescent="0.35">
      <c r="D59" s="2" t="s">
        <v>27</v>
      </c>
    </row>
    <row r="60" spans="2:8" x14ac:dyDescent="0.35">
      <c r="D60" s="2" t="s">
        <v>65</v>
      </c>
      <c r="E60">
        <f>COUNT(F22:F38)*1.1</f>
        <v>18.700000000000003</v>
      </c>
    </row>
    <row r="61" spans="2:8" ht="15" thickBot="1" x14ac:dyDescent="0.4">
      <c r="E61" s="20" t="s">
        <v>44</v>
      </c>
    </row>
    <row r="62" spans="2:8" ht="15" thickTop="1" x14ac:dyDescent="0.35"/>
  </sheetData>
  <mergeCells count="1">
    <mergeCell ref="D54:H5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A18BDABE431C340925016A71D544685" ma:contentTypeVersion="8" ma:contentTypeDescription="Crear nuevo documento." ma:contentTypeScope="" ma:versionID="fc3e8fa40084b9dd56314605d7668bcd">
  <xsd:schema xmlns:xsd="http://www.w3.org/2001/XMLSchema" xmlns:xs="http://www.w3.org/2001/XMLSchema" xmlns:p="http://schemas.microsoft.com/office/2006/metadata/properties" xmlns:ns3="febac911-7b5b-4471-ac86-be1edf17f557" targetNamespace="http://schemas.microsoft.com/office/2006/metadata/properties" ma:root="true" ma:fieldsID="2b8e54bf4200cf739eb00745373fd1b4" ns3:_="">
    <xsd:import namespace="febac911-7b5b-4471-ac86-be1edf17f55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bac911-7b5b-4471-ac86-be1edf17f5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ebac911-7b5b-4471-ac86-be1edf17f557" xsi:nil="true"/>
  </documentManagement>
</p:properties>
</file>

<file path=customXml/itemProps1.xml><?xml version="1.0" encoding="utf-8"?>
<ds:datastoreItem xmlns:ds="http://schemas.openxmlformats.org/officeDocument/2006/customXml" ds:itemID="{851ACF59-F0F1-433E-B171-2B8243ECE714}">
  <ds:schemaRefs>
    <ds:schemaRef ds:uri="http://schemas.microsoft.com/sharepoint/v3/contenttype/forms"/>
  </ds:schemaRefs>
</ds:datastoreItem>
</file>

<file path=customXml/itemProps2.xml><?xml version="1.0" encoding="utf-8"?>
<ds:datastoreItem xmlns:ds="http://schemas.openxmlformats.org/officeDocument/2006/customXml" ds:itemID="{DBAD4B34-2157-426F-B792-2ACEBDE2C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bac911-7b5b-4471-ac86-be1edf17f5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C62F31-FC5D-48DC-9B35-3B86FCF9B93A}">
  <ds:schemaRef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www.w3.org/XML/1998/namespace"/>
    <ds:schemaRef ds:uri="http://purl.org/dc/elements/1.1/"/>
    <ds:schemaRef ds:uri="febac911-7b5b-4471-ac86-be1edf17f557"/>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Presentacion</vt:lpstr>
      <vt:lpstr>Caso 1</vt:lpstr>
      <vt:lpstr>Caso 2</vt:lpstr>
      <vt:lpstr>Caso 3</vt:lpstr>
      <vt:lpstr>Caso 4</vt:lpstr>
      <vt:lpstr>Caso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Nathaniel Bonilla De Los Santos</dc:creator>
  <cp:lastModifiedBy>Jose Nathaniel Bonilla De Los Santos</cp:lastModifiedBy>
  <dcterms:created xsi:type="dcterms:W3CDTF">2025-09-06T21:12:57Z</dcterms:created>
  <dcterms:modified xsi:type="dcterms:W3CDTF">2025-09-17T13:45:01Z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0x010100BA18BDABE431C340925016A71D544685</vt:lpwstr>
  </property>
</Properties>
</file>