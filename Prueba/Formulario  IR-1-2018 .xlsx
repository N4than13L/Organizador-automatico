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ha\OneDrive\Documentos\Universidad\Tributacion II\"/>
    </mc:Choice>
  </mc:AlternateContent>
  <xr:revisionPtr revIDLastSave="0" documentId="13_ncr:1_{77EB4DDC-62B4-4200-A9C9-42864A7D8A16}" xr6:coauthVersionLast="47" xr6:coauthVersionMax="47" xr10:uidLastSave="{00000000-0000-0000-0000-000000000000}"/>
  <bookViews>
    <workbookView xWindow="28680" yWindow="-120" windowWidth="21840" windowHeight="13740" activeTab="3" xr2:uid="{FD681922-0AF1-4416-A283-AB70B2F1485A}"/>
  </bookViews>
  <sheets>
    <sheet name="Anexo RG" sheetId="5" r:id="rId1"/>
    <sheet name="Anexo RD" sheetId="6" r:id="rId2"/>
    <sheet name="Anexo B" sheetId="1" r:id="rId3"/>
    <sheet name="Anexo A" sheetId="7" r:id="rId4"/>
    <sheet name="IR-1" sheetId="4" r:id="rId5"/>
    <sheet name="Anticipos" sheetId="8" r:id="rId6"/>
  </sheets>
  <definedNames>
    <definedName name="AÑO_FISCAL">'IR-1'!$AD$7</definedName>
    <definedName name="_xlnm.Print_Area" localSheetId="3">'Anexo A'!$A$1:$W$47</definedName>
    <definedName name="_xlnm.Print_Area" localSheetId="2">'Anexo B'!$A$1:$N$92</definedName>
    <definedName name="_xlnm.Print_Area" localSheetId="1">'Anexo RD'!$A$1:$AA$44</definedName>
    <definedName name="_xlnm.Print_Area" localSheetId="0">'Anexo RG'!$A$1:$AB$50</definedName>
    <definedName name="_xlnm.Print_Area" localSheetId="5">Anticipos!$A$1:$H$27</definedName>
    <definedName name="_xlnm.Print_Area" localSheetId="4">'IR-1'!$A$1:$AH$60</definedName>
    <definedName name="NOMBRE">'IR-1'!$J$11</definedName>
    <definedName name="RNC">'IR-1'!$H$11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C46" i="7"/>
  <c r="L42" i="1"/>
  <c r="L34" i="1"/>
  <c r="V22" i="4" s="1"/>
  <c r="F14" i="8" s="1"/>
  <c r="T7" i="7"/>
  <c r="H12" i="7"/>
  <c r="D12" i="7"/>
  <c r="K6" i="1"/>
  <c r="H11" i="1"/>
  <c r="D11" i="1"/>
  <c r="W7" i="6"/>
  <c r="L12" i="6"/>
  <c r="D12" i="6"/>
  <c r="X8" i="5"/>
  <c r="L12" i="5"/>
  <c r="D12" i="5"/>
  <c r="U32" i="7"/>
  <c r="U36" i="7" s="1"/>
  <c r="V20" i="4"/>
  <c r="F11" i="8"/>
  <c r="F10" i="8"/>
  <c r="E17" i="7"/>
  <c r="E18" i="7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9" i="7" s="1"/>
  <c r="E40" i="7" s="1"/>
  <c r="E41" i="7" s="1"/>
  <c r="E42" i="7" s="1"/>
  <c r="E43" i="7" s="1"/>
  <c r="E44" i="7" s="1"/>
  <c r="E45" i="7" s="1"/>
  <c r="U45" i="7"/>
  <c r="V30" i="4"/>
  <c r="F16" i="8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9" i="1" s="1"/>
  <c r="D30" i="1" s="1"/>
  <c r="D31" i="1" s="1"/>
  <c r="D32" i="1" s="1"/>
  <c r="D33" i="1" s="1"/>
  <c r="D34" i="1" s="1"/>
  <c r="D36" i="1" s="1"/>
  <c r="D37" i="1" s="1"/>
  <c r="D38" i="1" s="1"/>
  <c r="D39" i="1" s="1"/>
  <c r="D40" i="1" s="1"/>
  <c r="D41" i="1" s="1"/>
  <c r="D42" i="1" s="1"/>
  <c r="D44" i="1" s="1"/>
  <c r="D45" i="1" s="1"/>
  <c r="D46" i="1" s="1"/>
  <c r="D47" i="1" s="1"/>
  <c r="D48" i="1" s="1"/>
  <c r="D49" i="1" s="1"/>
  <c r="D50" i="1" s="1"/>
  <c r="D51" i="1" s="1"/>
  <c r="D52" i="1" s="1"/>
  <c r="D54" i="1" s="1"/>
  <c r="D56" i="1" s="1"/>
  <c r="D57" i="1" s="1"/>
  <c r="D58" i="1" s="1"/>
  <c r="D59" i="1" s="1"/>
  <c r="D60" i="1" s="1"/>
  <c r="D61" i="1" s="1"/>
  <c r="D62" i="1" s="1"/>
  <c r="D63" i="1" s="1"/>
  <c r="D65" i="1" s="1"/>
  <c r="D66" i="1" s="1"/>
  <c r="D67" i="1" s="1"/>
  <c r="D68" i="1" s="1"/>
  <c r="D69" i="1" s="1"/>
  <c r="D70" i="1" s="1"/>
  <c r="D72" i="1" s="1"/>
  <c r="D73" i="1" s="1"/>
  <c r="D74" i="1" s="1"/>
  <c r="D75" i="1" s="1"/>
  <c r="D77" i="1" s="1"/>
  <c r="D78" i="1" s="1"/>
  <c r="D79" i="1" s="1"/>
  <c r="D80" i="1" s="1"/>
  <c r="D81" i="1" s="1"/>
  <c r="D82" i="1" s="1"/>
  <c r="D83" i="1" s="1"/>
  <c r="D84" i="1" s="1"/>
  <c r="D86" i="1" s="1"/>
  <c r="D87" i="1" s="1"/>
  <c r="D88" i="1" s="1"/>
  <c r="C90" i="1" s="1"/>
  <c r="L52" i="1"/>
  <c r="L90" i="1" s="1"/>
  <c r="AC17" i="4" s="1"/>
  <c r="AC21" i="4" s="1"/>
  <c r="L63" i="1"/>
  <c r="L70" i="1"/>
  <c r="L75" i="1"/>
  <c r="L84" i="1"/>
  <c r="L88" i="1"/>
  <c r="R47" i="5"/>
  <c r="AC16" i="4"/>
  <c r="AC26" i="4" l="1"/>
  <c r="AC22" i="4"/>
  <c r="V23" i="4" s="1"/>
  <c r="AC28" i="4" l="1"/>
  <c r="F9" i="8"/>
  <c r="F12" i="8" s="1"/>
  <c r="F15" i="8" s="1"/>
  <c r="F17" i="8" s="1"/>
  <c r="F22" i="8" l="1"/>
  <c r="F23" i="8"/>
  <c r="F21" i="8"/>
  <c r="V34" i="4"/>
  <c r="AC33" i="4"/>
  <c r="V37" i="4" l="1"/>
  <c r="V35" i="4"/>
  <c r="AC39" i="4"/>
  <c r="F24" i="8"/>
</calcChain>
</file>

<file path=xl/sharedStrings.xml><?xml version="1.0" encoding="utf-8"?>
<sst xmlns="http://schemas.openxmlformats.org/spreadsheetml/2006/main" count="359" uniqueCount="229">
  <si>
    <t>II.</t>
  </si>
  <si>
    <t>INGRESOS</t>
  </si>
  <si>
    <t>+</t>
  </si>
  <si>
    <t>-</t>
  </si>
  <si>
    <t>=</t>
  </si>
  <si>
    <t>III.</t>
  </si>
  <si>
    <t>COSTOS</t>
  </si>
  <si>
    <t>INVENTARIO INICIAL</t>
  </si>
  <si>
    <t xml:space="preserve">COMPRAS LOCALES </t>
  </si>
  <si>
    <t>INVENTARIO FINAL</t>
  </si>
  <si>
    <t>DEVOLUCIONES S/VENTAS</t>
  </si>
  <si>
    <t>DESCUENTOS S/VENTAS</t>
  </si>
  <si>
    <t>IV.</t>
  </si>
  <si>
    <t>GASTOS DE PERSONAL</t>
  </si>
  <si>
    <t>SUELDOS Y SALARIOS</t>
  </si>
  <si>
    <t>RETRIBUCIONES COMPLEMENTARIAS</t>
  </si>
  <si>
    <t>SEGUROS</t>
  </si>
  <si>
    <t>APORTACION SEGURIDAD SOCIAL</t>
  </si>
  <si>
    <t>APORTE INFOTEP</t>
  </si>
  <si>
    <t>OTROS GASTOS DE PERSONAL</t>
  </si>
  <si>
    <t>GASTOS POR TRABAJOS, SUMINISTROS Y SERVICIOS</t>
  </si>
  <si>
    <t>HONORARIOS POR SERVICIOS DEL EXTERIOR (LEY No. 392-07)</t>
  </si>
  <si>
    <t>HONORARIOS POR SERVICIOS DEL EXTERIOR (PERSONAS FISICAS Y MORALES)</t>
  </si>
  <si>
    <t>OTROS GASTOS POR TRABAJOS, SUMINISTROS Y SERVICIOS</t>
  </si>
  <si>
    <t>RELACIONES PUBLICAS</t>
  </si>
  <si>
    <t>PUBLICIDAD</t>
  </si>
  <si>
    <t>VIAJES</t>
  </si>
  <si>
    <t>OTROS GASTOS DE REPRESENTACION</t>
  </si>
  <si>
    <t>PROMOCIONES</t>
  </si>
  <si>
    <t>PRIMAS DE SEGUROS</t>
  </si>
  <si>
    <t>DESTRUCCION DE INVENTARIO AUTORIZADO POR DGII</t>
  </si>
  <si>
    <t>POR PRESTAMOS CON  ENTIDADES DEL EXTERIOR</t>
  </si>
  <si>
    <t>POR PRESTAMOS CON ENTIDADES RELACIONADAS LOCALES</t>
  </si>
  <si>
    <t>POR PRESTAMOS CON PERSONAS FISICAS</t>
  </si>
  <si>
    <t>POR RETENCION DE  IMPUESTO A LA EMISIÓN DE CHEQUES Y PAGOS POR TRANSFERENCIAS ELECTRÓNICAS. (.0015)</t>
  </si>
  <si>
    <t>OTROS GASTOS FINANCIEROS</t>
  </si>
  <si>
    <t>POR PERDIDAS EN VENTAS DE ACTIVOS DEPRECIABLES</t>
  </si>
  <si>
    <t>OTROS GASTOS EXTRAORDINARIOS</t>
  </si>
  <si>
    <t>ARRENDAMIENTOS</t>
  </si>
  <si>
    <t>GASTOS DE ACTIVOS FIJOS</t>
  </si>
  <si>
    <t>GASTOS DE REPRESENTACION</t>
  </si>
  <si>
    <t>OTRAS DEDUCCIONES ADMITIDAS</t>
  </si>
  <si>
    <t>GASTOS FINANCIEROS</t>
  </si>
  <si>
    <t>GASTOS EXTRAORDINARIOS</t>
  </si>
  <si>
    <t>MANTENIMIENTO DE LOS ACTIVOS FIJOS</t>
  </si>
  <si>
    <t>V.</t>
  </si>
  <si>
    <t>VI.</t>
  </si>
  <si>
    <t>IX.</t>
  </si>
  <si>
    <t>A</t>
  </si>
  <si>
    <t>ANTICIPOS PAGADOS</t>
  </si>
  <si>
    <t>OTROS PAGOS</t>
  </si>
  <si>
    <t>SALDO A FAVOR EJERCICIO ANTERIOR</t>
  </si>
  <si>
    <t>MORA EN ANTICIPOS NO PAGADOS</t>
  </si>
  <si>
    <t xml:space="preserve">DATOS PERSONALES DECLARANTE </t>
  </si>
  <si>
    <t>RNC/CEDULA</t>
  </si>
  <si>
    <t>CONTABILIDAD ORGANIZADA</t>
  </si>
  <si>
    <t>AÑO FISCAL</t>
  </si>
  <si>
    <t>I.</t>
  </si>
  <si>
    <r>
      <t>A.</t>
    </r>
    <r>
      <rPr>
        <sz val="12"/>
        <color indexed="8"/>
        <rFont val="Times New Roman"/>
        <family val="1"/>
      </rPr>
      <t/>
    </r>
  </si>
  <si>
    <t xml:space="preserve">DIRECCION GENERAL DE IMPUESTOS INTERNOS </t>
  </si>
  <si>
    <t>IR-1</t>
  </si>
  <si>
    <t>RENTA NETA IMPONIBLE</t>
  </si>
  <si>
    <t>ESTADO DE RESULTADOS</t>
  </si>
  <si>
    <t>INGRESOS POR DIVIDENDOS</t>
  </si>
  <si>
    <t>Contribuyente</t>
  </si>
  <si>
    <t>REGISTRO DE GASTOS EDUCATIVOS</t>
  </si>
  <si>
    <t>Anexo RG</t>
  </si>
  <si>
    <t xml:space="preserve"> </t>
  </si>
  <si>
    <t>TIPO ID</t>
  </si>
  <si>
    <t>NIVEL</t>
  </si>
  <si>
    <t>NCF</t>
  </si>
  <si>
    <t>FECHA</t>
  </si>
  <si>
    <t>VALOR</t>
  </si>
  <si>
    <t>DEPENDIENTE</t>
  </si>
  <si>
    <t>TOTAL</t>
  </si>
  <si>
    <t>REGISTRO DE DEPENDIENTES</t>
  </si>
  <si>
    <t>Anexo RD</t>
  </si>
  <si>
    <t>FECHA NACIMIENTO</t>
  </si>
  <si>
    <t>CEDULA</t>
  </si>
  <si>
    <t>PRIMERO APELLIDO</t>
  </si>
  <si>
    <t>SEGUNDO APELLIDO</t>
  </si>
  <si>
    <t>PRIMER NOMBRE</t>
  </si>
  <si>
    <t>SEGUNDO NOMBRE</t>
  </si>
  <si>
    <t>Hijo (a)</t>
  </si>
  <si>
    <t>DETALLE DE LOS BIENES</t>
  </si>
  <si>
    <t>PATRIMONIO</t>
  </si>
  <si>
    <t>MEJORAS, INSTALACIONES CONTENIDAS TERRENOS RURALES</t>
  </si>
  <si>
    <t>CAPITAL INVERTIDO COMO DUEÑO O SOCIO EN NEGOCIOS</t>
  </si>
  <si>
    <t>MOBILIARIO DE OFICINA, CONSULTORIO, BUFETES, ETC.</t>
  </si>
  <si>
    <t>MOBILIARIO DE LA CASA</t>
  </si>
  <si>
    <t>DINERO EN CAJA, CUENTAS DE AHORROS Y CORRIENTES</t>
  </si>
  <si>
    <t>NAVES Y OTRAS EMBARCACIONES DE CUALQUIER TIPO</t>
  </si>
  <si>
    <t>OTROS</t>
  </si>
  <si>
    <t>DEUDAS POR PRESTAMOS HIPOTECARIOS</t>
  </si>
  <si>
    <t>DEUDAS POR PRESTAMOS PRENDARIOS</t>
  </si>
  <si>
    <t>OTRAS DEUDAS</t>
  </si>
  <si>
    <t>OTROS INGRESOS</t>
  </si>
  <si>
    <t>RETENCIONES</t>
  </si>
  <si>
    <t>RETENCIONES POR SALARIOS</t>
  </si>
  <si>
    <t>RETENCIONES POR HONORARIOS</t>
  </si>
  <si>
    <t>RETENCIONES POR ALQUILER</t>
  </si>
  <si>
    <t>RETENCIONES POR INTERESES PERCIBIDOS</t>
  </si>
  <si>
    <t>OTRAS RETENCIONES</t>
  </si>
  <si>
    <t>PARA USO DE LA DGII</t>
  </si>
  <si>
    <t>FECHA DE PAGO</t>
  </si>
  <si>
    <t>FECHA DE PRORROGA</t>
  </si>
  <si>
    <t>FIRMA Y SELLO</t>
  </si>
  <si>
    <t>Yo</t>
  </si>
  <si>
    <t>en calidad de</t>
  </si>
  <si>
    <t>Apellidos</t>
  </si>
  <si>
    <t>Nombres</t>
  </si>
  <si>
    <t>Cédula</t>
  </si>
  <si>
    <t>En calidad de</t>
  </si>
  <si>
    <t>Fecha</t>
  </si>
  <si>
    <t>Firma</t>
  </si>
  <si>
    <t xml:space="preserve">VENTAS DE BIENES DE CAPITAL </t>
  </si>
  <si>
    <t>COMPRAS EN EL EXTERIOR (IMPORTACIONES)</t>
  </si>
  <si>
    <t xml:space="preserve">AÑO FISCAL </t>
  </si>
  <si>
    <t>NOMBRE(S) Y APELLIDO(S)</t>
  </si>
  <si>
    <t>CORREO ELECTRÓNICO</t>
  </si>
  <si>
    <t>NOMBRE COMERCIAL</t>
  </si>
  <si>
    <t xml:space="preserve">HONORARIOS POR SERVICIOS PROFESIONALES </t>
  </si>
  <si>
    <t xml:space="preserve">SEGURIDAD, MENSAJERIA, TRANSPORTES Y OTROS SERVICIOS </t>
  </si>
  <si>
    <t xml:space="preserve">SUMINISTRO DE COMBUSTIBLE </t>
  </si>
  <si>
    <t>FACTURAS DE ENERGIA ELECTRICA</t>
  </si>
  <si>
    <t>GASTOS NO ADMITIDOS</t>
  </si>
  <si>
    <t>INGRESOS POR PRESTACION DE SERVICIOS</t>
  </si>
  <si>
    <t>Anexo A</t>
  </si>
  <si>
    <t>MONTO</t>
  </si>
  <si>
    <t>INGRESOS POR ALQUILERES</t>
  </si>
  <si>
    <r>
      <t>PATRIMONIO NETO DEL AÑO</t>
    </r>
    <r>
      <rPr>
        <sz val="12"/>
        <color indexed="8"/>
        <rFont val="Arial"/>
        <family val="2"/>
      </rPr>
      <t xml:space="preserve"> (Casillas 17-18-19-20)</t>
    </r>
  </si>
  <si>
    <r>
      <t>TOTAL DE BIENES ACUMULADOS EN EL AÑO</t>
    </r>
    <r>
      <rPr>
        <sz val="12"/>
        <color indexed="8"/>
        <rFont val="Arial"/>
        <family val="2"/>
      </rPr>
      <t xml:space="preserve"> (Sumar casillas 1 hasta 16)</t>
    </r>
  </si>
  <si>
    <t>INGRESOS POR HONORARIOS PROFESIONALES</t>
  </si>
  <si>
    <t>PROPORCIÓN ITBIS PAGADO EN OPERACIONES EXENTAS</t>
  </si>
  <si>
    <r>
      <rPr>
        <b/>
        <sz val="12"/>
        <color indexed="8"/>
        <rFont val="Arial"/>
        <family val="2"/>
      </rPr>
      <t>TOTAL DE RETENCIONES</t>
    </r>
    <r>
      <rPr>
        <sz val="12"/>
        <color indexed="8"/>
        <rFont val="Arial"/>
        <family val="2"/>
      </rPr>
      <t xml:space="preserve"> (Sumar casillas 22 hasta 27)</t>
    </r>
  </si>
  <si>
    <t>INMUEBLES URBANOS: SOLARES</t>
  </si>
  <si>
    <t>INMUEBLES URBANOS: MEJORAS</t>
  </si>
  <si>
    <t>INMUEBLES RURALES: TERRENOS</t>
  </si>
  <si>
    <t>Anexo B</t>
  </si>
  <si>
    <t>CANTIDAD</t>
  </si>
  <si>
    <t xml:space="preserve">Autorizo a la siguiente persona a representarme ante esta Dirección General, en la presentación y trámite de esta Declaración Jurada.  </t>
  </si>
  <si>
    <t>INGRESOS POR SALARIOS</t>
  </si>
  <si>
    <t>RETENCIONES EFECTUADAS ENTIDADES ESTATALES (Viene del Formato de Envío 623)</t>
  </si>
  <si>
    <t>INGRESOS POR EXPORTACIONES</t>
  </si>
  <si>
    <t>INGRESOS POR VENTAS BIENES LOCALES</t>
  </si>
  <si>
    <t>FACTURAS TELEFONICAS (Teléfonos Fijos y Móviles)</t>
  </si>
  <si>
    <t>REPARACIONES DE ACTIVOS FIJOS (Categoría I: Edificaciones)</t>
  </si>
  <si>
    <t>REPARACIONES DE ACTIVOS FIJOS (Categoría II y III: Automóviles, Equipos y otros Activos Fijos)</t>
  </si>
  <si>
    <t>ITBIS LLEVADO AL COSTO</t>
  </si>
  <si>
    <t>POR PRESTAMOS CON INSTITUCIONES FINANCIERAS LOCALES</t>
  </si>
  <si>
    <t>RETENCIONES (Viene las Casillas 28 del Anexo A)</t>
  </si>
  <si>
    <t>INGRESOS EXENTOS (Anexar Certificación)</t>
  </si>
  <si>
    <t>EXENCIÓN CONTRIBUTIVA (Solo aplica para los que no reportan costos o gastos)</t>
  </si>
  <si>
    <t xml:space="preserve">DIRECCIÓN GENERAL DE IMPUESTOS INTERNOS </t>
  </si>
  <si>
    <t xml:space="preserve">DECLARACIÓN JURADA DE IMPUESTO SOBRE LA RENTA PARA LAS PERSONAS FÍSICAS </t>
  </si>
  <si>
    <t>TELÉFONO</t>
  </si>
  <si>
    <t xml:space="preserve">TIPO DE DECLARACIÓN </t>
  </si>
  <si>
    <t>LIQUIDACIÓN</t>
  </si>
  <si>
    <t>MORA EN DECLARACIÓN TARDÍA</t>
  </si>
  <si>
    <t xml:space="preserve">INTERÉS INDEMNIZATORIO </t>
  </si>
  <si>
    <t>INTERÉS INDEMNIZATORIO POR ANTICIPOS NO PAGADOS</t>
  </si>
  <si>
    <t>DIRECCIÓN GENERAL DE IMPUESTOS INTERNOS</t>
  </si>
  <si>
    <t>EXISTENCIA DE GANADO VACUNO, PORCINO, AVÍCOLA, ETC.</t>
  </si>
  <si>
    <t>EXISTENCIA DE PRODUCTOS AGRÍCOLAS Y FORESTALES</t>
  </si>
  <si>
    <t xml:space="preserve">ACCIONES QUE POSEEN EN COMPAÑÍAS (Valor nominal) </t>
  </si>
  <si>
    <t>TÍTULOS, BONOS, OTROS DEPÓSITOS EN BANCOS O EN SU PODER</t>
  </si>
  <si>
    <t>CRÉDITOS HIPOTECARIOS</t>
  </si>
  <si>
    <t>VEHÍCULOS MOTOR:  AUTOMÓVILES</t>
  </si>
  <si>
    <t>RNC/CÉDULA</t>
  </si>
  <si>
    <t>I. -RELACIÓN DE DEPENDIENTES</t>
  </si>
  <si>
    <t>RELACIÓN</t>
  </si>
  <si>
    <t>I. -GASTOS EN EDUCACIÓN</t>
  </si>
  <si>
    <t>AMORTIZACIÓN BIENES INTANGIBLES</t>
  </si>
  <si>
    <t>DEPRECIACIÓN DE ACTIVOS FIJOS (Categoría I: Edificaciones)</t>
  </si>
  <si>
    <t>DEPRECIACIÓN DE ACTIVOS FIJOS (Categoría II: Automóviles y equipos)</t>
  </si>
  <si>
    <t>DEPRECIACIÓN DE ACTIVOS FIJOS (Categoría III: Otros Activos Fijos)</t>
  </si>
  <si>
    <t>POR PRESTAMOS CON ENTIDADES RELACIONADAS DEL EXTERIOR</t>
  </si>
  <si>
    <t>por la presente afirmo bajo juramento que los datos consignados en la presente declaración de renta son correctos y completos y que no he omitido ni falseado dato alguno que la misma deba contener, siendo en consecuencia todo su contenido la fiel expresión de la verdad.</t>
  </si>
  <si>
    <t>V. JURAMENTO DEL DECLARANTE</t>
  </si>
  <si>
    <t>VI. AUTORIZACIÓN DE PRESENTACIÓN</t>
  </si>
  <si>
    <t>VII. CONSTANCIA DE PAGO</t>
  </si>
  <si>
    <t>FECHA ACUSE NOTIFICACIÓN INICIAL</t>
  </si>
  <si>
    <t>FECHA DE PRESENTACIÓN</t>
  </si>
  <si>
    <r>
      <t>DETALLES DE RETENCIONES (</t>
    </r>
    <r>
      <rPr>
        <b/>
        <sz val="12"/>
        <color indexed="8"/>
        <rFont val="Arial"/>
        <family val="2"/>
      </rPr>
      <t>Anexar certificaciones</t>
    </r>
    <r>
      <rPr>
        <b/>
        <sz val="11"/>
        <color indexed="8"/>
        <rFont val="Arial"/>
        <family val="2"/>
      </rPr>
      <t>)</t>
    </r>
  </si>
  <si>
    <t>NORMAL</t>
  </si>
  <si>
    <t>GANANCIA DE CAPITAL POR VENTAS DE ACCIONES</t>
  </si>
  <si>
    <t>GANANCIA DE CAPITAL POR VENTA Y/O APORTE EN NATURALEZA DE INMUEBLES</t>
  </si>
  <si>
    <t>DECLARACION JURADA DE IMPUESTO SOBRE LA RENTA PARA LAS PERSONAS FISICAS</t>
  </si>
  <si>
    <t>CALCULO DE ANTICIPOS</t>
  </si>
  <si>
    <t>CALCULO RENTA NETA</t>
  </si>
  <si>
    <t>RENTA NETA IMPONIBLE SUJETA AL PAGO DE ANTICIPOS</t>
  </si>
  <si>
    <t>IMPUESTO LIQUIDADO NETO SUJETO AL PAGO DE ANTICIPOS</t>
  </si>
  <si>
    <t>ANTICIPOS GENERADOS</t>
  </si>
  <si>
    <t>JUNIO</t>
  </si>
  <si>
    <t>SEPTIEMBRE</t>
  </si>
  <si>
    <t>DICIEMBRE</t>
  </si>
  <si>
    <r>
      <t xml:space="preserve">IMPUESTO LIQUIDADO SUJETO AL PAGO DE ANTICIPOS </t>
    </r>
    <r>
      <rPr>
        <i/>
        <sz val="10"/>
        <color indexed="8"/>
        <rFont val="Calibri"/>
        <family val="2"/>
      </rPr>
      <t xml:space="preserve"> (Aplica tasa a la Renta Neta Imponible)</t>
    </r>
  </si>
  <si>
    <t>Versión 2018</t>
  </si>
  <si>
    <t>EXENCIÓN GASTOS EN EDUCACIÓN (No exceder 10% de las casillas 5-6 y el 25% de la Exención Contributiva)</t>
  </si>
  <si>
    <t>RENTA NETA (O PERDIDA) (Casillas 1+2-3-4)</t>
  </si>
  <si>
    <t>RENTA NETA IMPONIBLE (Casillas 5-6-7+8+9, si aplica)</t>
  </si>
  <si>
    <t>IMPUESTO LIQUIDADO (Aplica tasa sobre casilla 10)</t>
  </si>
  <si>
    <t>DIFERENCIA A PAGAR (Casillas 11-12-13-14-15  si es positivo)</t>
  </si>
  <si>
    <t xml:space="preserve">SALDO A FAVOR (Casillas 11-12-13-14-15 si es negativo) </t>
  </si>
  <si>
    <t>% sobre la casilla 16.</t>
  </si>
  <si>
    <t>TOTAL A PAGAR (Sumar casillas 16+18+19+20+21)</t>
  </si>
  <si>
    <r>
      <t>RENTA NETA IMPONIBLE</t>
    </r>
    <r>
      <rPr>
        <i/>
        <sz val="10"/>
        <color indexed="8"/>
        <rFont val="Calibri"/>
        <family val="2"/>
      </rPr>
      <t xml:space="preserve"> (Casilla 10 del IR-1)</t>
    </r>
  </si>
  <si>
    <r>
      <t xml:space="preserve">GANANCIA DE CAPITAL POR VENTAS DE ACCIONES </t>
    </r>
    <r>
      <rPr>
        <i/>
        <sz val="10"/>
        <color indexed="8"/>
        <rFont val="Calibri"/>
        <family val="2"/>
      </rPr>
      <t>(Casilla 8 del IR-1)</t>
    </r>
  </si>
  <si>
    <r>
      <t xml:space="preserve">GANANCIA DE CAPITAL POR VENTA Y/O APORTE EN NATURALEZA DE INMUEBLES </t>
    </r>
    <r>
      <rPr>
        <i/>
        <sz val="10"/>
        <color indexed="8"/>
        <rFont val="Calibri"/>
        <family val="2"/>
      </rPr>
      <t>(Casilla 9 del IR-1)</t>
    </r>
  </si>
  <si>
    <t>EXENCIÓN CONTRIBUTIVA (Casilla 6 del IR-1)</t>
  </si>
  <si>
    <r>
      <t xml:space="preserve">TOTAL DE RETENCIONES </t>
    </r>
    <r>
      <rPr>
        <i/>
        <sz val="10"/>
        <color indexed="8"/>
        <rFont val="Calibri"/>
        <family val="2"/>
      </rPr>
      <t>(Casilla 13 del IR-1)</t>
    </r>
  </si>
  <si>
    <t>Version 2018</t>
  </si>
  <si>
    <t>SI</t>
  </si>
  <si>
    <t>DATOS COMPLEMENTARIOS</t>
  </si>
  <si>
    <t>TOTAL INGRESOS (Casillas 1+2+3+4+5+6-7-8+9+10+11+12+13)</t>
  </si>
  <si>
    <t>INTERESES POR INVERSIONES FINANCIERAS EN INSTITUCIONES REGULADAS POR LAS AUTORIDADES MONETARIAS</t>
  </si>
  <si>
    <t>INTERESES POR INVERSIONES FINANCIERAS DE INSTITUCIONES NO REGULADAS POR LAS AUTORIDADES MONETARIAS</t>
  </si>
  <si>
    <t>TOTAL COSTO DE VENTA (Casillas 15+16+17+18-19)</t>
  </si>
  <si>
    <t>TOTAL GASTOS DE PERSONAL (Sumar Casillas 21+22+23+24+25+26)</t>
  </si>
  <si>
    <t>TOTAL GASTOS POR TRABAJOS, SUMINISTROS Y SERVICIOS (Sumar Casillas 28+29+30+31+32+33+34+35)</t>
  </si>
  <si>
    <t>TOTAL GASTOS DE ACTIVOS FIJOS (Sumar Casillas 38+39+40+41+42+43+44)</t>
  </si>
  <si>
    <t>TOTAL GASTOS DE REPRESENTACION (Sumar Casillas 46+47+48+49+50)</t>
  </si>
  <si>
    <t>TOTAL OTRAS DEDUCCIONES ADMITIDAS (Sumar Casillas 52+53+54)</t>
  </si>
  <si>
    <t>TOTAL GASTOS FINANCIEROS (Sumar Casillas 56+57+58+59+60+61+62)</t>
  </si>
  <si>
    <t>TOTAL GASTOS EXTRAORDINARIOS (Sumar Casillas 64+65)</t>
  </si>
  <si>
    <t xml:space="preserve"> BENEFICIO (PERDIDA) DEL EJERC. ANTES DE IMP. SOBRE LA RENTA (Restar Casillas 14-20-27-36-37-45-51-55-63-66)</t>
  </si>
  <si>
    <r>
      <t xml:space="preserve"> INGRESOS </t>
    </r>
    <r>
      <rPr>
        <sz val="10"/>
        <rFont val="Arial"/>
        <family val="2"/>
      </rPr>
      <t>(Viene de la casilla 14 "Total de Ingresos" del Anexo B)</t>
    </r>
  </si>
  <si>
    <r>
      <t xml:space="preserve">BENEFICIO O PERDIDA NETA ANTES DEL IMPUESTO </t>
    </r>
    <r>
      <rPr>
        <sz val="10"/>
        <color indexed="8"/>
        <rFont val="Arial"/>
        <family val="2"/>
      </rPr>
      <t>(</t>
    </r>
    <r>
      <rPr>
        <sz val="9"/>
        <color indexed="8"/>
        <rFont val="Arial"/>
        <family val="2"/>
      </rPr>
      <t>Viene de la casilla 67  "Beneficio (Perdida) del Ejerc. Antes de ISR" del Anexo B)</t>
    </r>
  </si>
  <si>
    <t>INGRESOS POR DIVIDENDOS (Viene de la casilla 13 "Ingresos por Dividendos" del Anexo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</si>
</sst>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dd/mm/yyyy;@"/>
    <numFmt numFmtId="166" formatCode="00000000000"/>
  </numFmts>
  <fonts count="70">
    <font>
      <sz val="11"/>
      <color theme="1"/>
      <name val="Calibri"/>
      <family val="2"/>
      <scheme val="minor"/>
    </font>
    <font>
      <sz val="10"/>
      <name val="Courier"/>
      <family val="3"/>
    </font>
    <font>
      <sz val="12"/>
      <color indexed="8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b/>
      <sz val="9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"/>
      <name val="Arial"/>
      <family val="2"/>
    </font>
    <font>
      <sz val="1"/>
      <color indexed="55"/>
      <name val="Arial"/>
      <family val="2"/>
    </font>
    <font>
      <sz val="1"/>
      <name val="Times New Roman"/>
      <family val="1"/>
    </font>
    <font>
      <sz val="1"/>
      <color indexed="55"/>
      <name val="Times New Roman"/>
      <family val="1"/>
    </font>
    <font>
      <sz val="10"/>
      <color indexed="55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4"/>
      <color indexed="9"/>
      <name val="Times New Roman"/>
      <family val="1"/>
    </font>
    <font>
      <b/>
      <sz val="16"/>
      <name val="Times New Roman"/>
      <family val="1"/>
    </font>
    <font>
      <sz val="1"/>
      <color indexed="9"/>
      <name val="Times New Roman"/>
      <family val="1"/>
    </font>
    <font>
      <sz val="12"/>
      <name val="Times New Roman"/>
      <family val="1"/>
    </font>
    <font>
      <sz val="12"/>
      <name val="Humanst521 Lt BT"/>
      <family val="1"/>
    </font>
    <font>
      <b/>
      <sz val="2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0"/>
      <name val="Humanst521 Lt BT"/>
    </font>
    <font>
      <b/>
      <sz val="9"/>
      <name val="Humanst521 Lt BT"/>
    </font>
    <font>
      <b/>
      <sz val="12"/>
      <name val="Humanst521 Lt BT"/>
    </font>
    <font>
      <sz val="8"/>
      <name val="Humanst521 Lt BT"/>
      <family val="1"/>
    </font>
    <font>
      <b/>
      <sz val="11"/>
      <color indexed="8"/>
      <name val="Arial"/>
      <family val="2"/>
    </font>
    <font>
      <sz val="16"/>
      <color indexed="8"/>
      <name val="Arial"/>
      <family val="2"/>
    </font>
    <font>
      <b/>
      <sz val="9"/>
      <color indexed="8"/>
      <name val="Arial"/>
      <family val="2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u val="singleAccounting"/>
      <sz val="16"/>
      <color indexed="8"/>
      <name val="Arial"/>
      <family val="2"/>
    </font>
    <font>
      <b/>
      <sz val="8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i/>
      <sz val="10"/>
      <color indexed="8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b/>
      <sz val="24"/>
      <color theme="1"/>
      <name val="Arial 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1">
    <xf numFmtId="0" fontId="0" fillId="0" borderId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3" fillId="0" borderId="0"/>
    <xf numFmtId="0" fontId="10" fillId="0" borderId="0"/>
    <xf numFmtId="0" fontId="1" fillId="0" borderId="0"/>
    <xf numFmtId="0" fontId="23" fillId="0" borderId="0"/>
  </cellStyleXfs>
  <cellXfs count="541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9" fillId="3" borderId="0" xfId="0" applyFont="1" applyFill="1"/>
    <xf numFmtId="43" fontId="46" fillId="3" borderId="0" xfId="1" applyFill="1"/>
    <xf numFmtId="0" fontId="50" fillId="3" borderId="0" xfId="0" applyFont="1" applyFill="1" applyAlignment="1">
      <alignment vertical="center"/>
    </xf>
    <xf numFmtId="0" fontId="51" fillId="3" borderId="0" xfId="0" applyFont="1" applyFill="1" applyAlignment="1">
      <alignment vertical="center"/>
    </xf>
    <xf numFmtId="0" fontId="10" fillId="4" borderId="0" xfId="6" applyFill="1"/>
    <xf numFmtId="0" fontId="11" fillId="4" borderId="0" xfId="6" applyFont="1" applyFill="1"/>
    <xf numFmtId="0" fontId="12" fillId="2" borderId="0" xfId="6" applyFont="1" applyFill="1"/>
    <xf numFmtId="0" fontId="10" fillId="2" borderId="0" xfId="6" applyFill="1"/>
    <xf numFmtId="0" fontId="10" fillId="0" borderId="0" xfId="6"/>
    <xf numFmtId="0" fontId="4" fillId="2" borderId="0" xfId="6" applyFont="1" applyFill="1" applyProtection="1">
      <protection hidden="1"/>
    </xf>
    <xf numFmtId="0" fontId="4" fillId="0" borderId="0" xfId="6" applyFont="1" applyProtection="1">
      <protection hidden="1"/>
    </xf>
    <xf numFmtId="0" fontId="13" fillId="2" borderId="0" xfId="6" applyFont="1" applyFill="1" applyProtection="1">
      <protection hidden="1"/>
    </xf>
    <xf numFmtId="0" fontId="4" fillId="2" borderId="0" xfId="8" applyFont="1" applyFill="1" applyProtection="1">
      <protection hidden="1"/>
    </xf>
    <xf numFmtId="0" fontId="4" fillId="3" borderId="0" xfId="8" applyFont="1" applyFill="1" applyProtection="1">
      <protection hidden="1"/>
    </xf>
    <xf numFmtId="0" fontId="4" fillId="3" borderId="0" xfId="6" applyFont="1" applyFill="1" applyProtection="1">
      <protection hidden="1"/>
    </xf>
    <xf numFmtId="0" fontId="13" fillId="3" borderId="0" xfId="6" applyFont="1" applyFill="1" applyProtection="1">
      <protection hidden="1"/>
    </xf>
    <xf numFmtId="0" fontId="14" fillId="2" borderId="0" xfId="6" applyFont="1" applyFill="1" applyProtection="1">
      <protection hidden="1"/>
    </xf>
    <xf numFmtId="0" fontId="15" fillId="2" borderId="0" xfId="6" applyFont="1" applyFill="1"/>
    <xf numFmtId="0" fontId="16" fillId="3" borderId="0" xfId="8" applyFont="1" applyFill="1" applyProtection="1">
      <protection hidden="1"/>
    </xf>
    <xf numFmtId="0" fontId="10" fillId="3" borderId="0" xfId="6" applyFill="1"/>
    <xf numFmtId="0" fontId="16" fillId="3" borderId="0" xfId="8" applyFont="1" applyFill="1" applyAlignment="1" applyProtection="1">
      <alignment horizontal="left"/>
      <protection hidden="1"/>
    </xf>
    <xf numFmtId="0" fontId="17" fillId="3" borderId="0" xfId="8" applyFont="1" applyFill="1" applyProtection="1">
      <protection hidden="1"/>
    </xf>
    <xf numFmtId="0" fontId="18" fillId="3" borderId="0" xfId="8" applyFont="1" applyFill="1" applyProtection="1">
      <protection hidden="1"/>
    </xf>
    <xf numFmtId="0" fontId="19" fillId="3" borderId="0" xfId="8" applyFont="1" applyFill="1" applyProtection="1">
      <protection hidden="1"/>
    </xf>
    <xf numFmtId="0" fontId="12" fillId="2" borderId="0" xfId="6" applyFont="1" applyFill="1" applyProtection="1">
      <protection hidden="1"/>
    </xf>
    <xf numFmtId="0" fontId="4" fillId="3" borderId="0" xfId="6" applyFont="1" applyFill="1" applyAlignment="1" applyProtection="1">
      <alignment horizontal="center"/>
      <protection hidden="1"/>
    </xf>
    <xf numFmtId="0" fontId="4" fillId="3" borderId="0" xfId="6" applyFont="1" applyFill="1"/>
    <xf numFmtId="49" fontId="16" fillId="2" borderId="0" xfId="8" applyNumberFormat="1" applyFont="1" applyFill="1" applyAlignment="1" applyProtection="1">
      <alignment horizontal="center" vertical="center"/>
      <protection hidden="1"/>
    </xf>
    <xf numFmtId="43" fontId="10" fillId="2" borderId="0" xfId="6" applyNumberFormat="1" applyFill="1"/>
    <xf numFmtId="0" fontId="11" fillId="2" borderId="0" xfId="6" applyFont="1" applyFill="1"/>
    <xf numFmtId="0" fontId="4" fillId="4" borderId="0" xfId="6" applyFont="1" applyFill="1" applyProtection="1">
      <protection hidden="1"/>
    </xf>
    <xf numFmtId="0" fontId="20" fillId="2" borderId="0" xfId="6" applyFont="1" applyFill="1" applyProtection="1">
      <protection hidden="1"/>
    </xf>
    <xf numFmtId="0" fontId="22" fillId="2" borderId="0" xfId="6" applyFont="1" applyFill="1" applyProtection="1">
      <protection hidden="1"/>
    </xf>
    <xf numFmtId="0" fontId="24" fillId="5" borderId="0" xfId="10" applyFont="1" applyFill="1" applyProtection="1">
      <protection hidden="1"/>
    </xf>
    <xf numFmtId="0" fontId="24" fillId="0" borderId="0" xfId="10" applyFont="1" applyProtection="1">
      <protection hidden="1"/>
    </xf>
    <xf numFmtId="0" fontId="24" fillId="3" borderId="0" xfId="10" applyFont="1" applyFill="1" applyProtection="1">
      <protection hidden="1"/>
    </xf>
    <xf numFmtId="0" fontId="25" fillId="3" borderId="0" xfId="10" applyFont="1" applyFill="1" applyAlignment="1" applyProtection="1">
      <alignment horizontal="center" vertical="center"/>
      <protection hidden="1"/>
    </xf>
    <xf numFmtId="0" fontId="26" fillId="3" borderId="1" xfId="6" applyFont="1" applyFill="1" applyBorder="1"/>
    <xf numFmtId="0" fontId="5" fillId="3" borderId="1" xfId="6" applyFont="1" applyFill="1" applyBorder="1" applyAlignment="1">
      <alignment horizontal="left"/>
    </xf>
    <xf numFmtId="0" fontId="5" fillId="3" borderId="0" xfId="6" applyFont="1" applyFill="1" applyAlignment="1">
      <alignment horizontal="left"/>
    </xf>
    <xf numFmtId="0" fontId="5" fillId="5" borderId="0" xfId="6" applyFont="1" applyFill="1" applyAlignment="1">
      <alignment horizontal="left"/>
    </xf>
    <xf numFmtId="0" fontId="28" fillId="3" borderId="0" xfId="6" applyFont="1" applyFill="1"/>
    <xf numFmtId="0" fontId="28" fillId="3" borderId="0" xfId="6" applyFont="1" applyFill="1" applyAlignment="1">
      <alignment horizontal="center" vertical="center"/>
    </xf>
    <xf numFmtId="0" fontId="26" fillId="5" borderId="0" xfId="6" applyFont="1" applyFill="1" applyAlignment="1">
      <alignment horizontal="right"/>
    </xf>
    <xf numFmtId="0" fontId="3" fillId="2" borderId="0" xfId="6" applyFont="1" applyFill="1"/>
    <xf numFmtId="0" fontId="32" fillId="3" borderId="0" xfId="10" applyFont="1" applyFill="1" applyProtection="1">
      <protection hidden="1"/>
    </xf>
    <xf numFmtId="0" fontId="32" fillId="3" borderId="0" xfId="10" applyFont="1" applyFill="1" applyAlignment="1" applyProtection="1">
      <alignment horizontal="right"/>
      <protection hidden="1"/>
    </xf>
    <xf numFmtId="0" fontId="10" fillId="5" borderId="0" xfId="6" applyFill="1"/>
    <xf numFmtId="0" fontId="9" fillId="3" borderId="0" xfId="7" applyFont="1" applyFill="1" applyAlignment="1">
      <alignment horizontal="center"/>
    </xf>
    <xf numFmtId="4" fontId="34" fillId="3" borderId="0" xfId="2" applyNumberFormat="1" applyFont="1" applyFill="1" applyAlignment="1">
      <alignment horizontal="right"/>
    </xf>
    <xf numFmtId="4" fontId="36" fillId="3" borderId="0" xfId="2" applyNumberFormat="1" applyFont="1" applyFill="1" applyAlignment="1">
      <alignment horizontal="right"/>
    </xf>
    <xf numFmtId="0" fontId="6" fillId="3" borderId="0" xfId="7" applyFont="1" applyFill="1"/>
    <xf numFmtId="0" fontId="35" fillId="3" borderId="0" xfId="7" applyFont="1" applyFill="1" applyAlignment="1">
      <alignment horizontal="left"/>
    </xf>
    <xf numFmtId="43" fontId="34" fillId="3" borderId="0" xfId="2" applyFont="1" applyFill="1" applyAlignment="1">
      <alignment horizontal="center"/>
    </xf>
    <xf numFmtId="43" fontId="38" fillId="3" borderId="0" xfId="2" applyFont="1" applyFill="1" applyAlignment="1">
      <alignment horizontal="center"/>
    </xf>
    <xf numFmtId="0" fontId="3" fillId="3" borderId="0" xfId="7" applyFill="1"/>
    <xf numFmtId="0" fontId="3" fillId="5" borderId="0" xfId="6" applyFont="1" applyFill="1"/>
    <xf numFmtId="0" fontId="3" fillId="4" borderId="0" xfId="6" applyFont="1" applyFill="1"/>
    <xf numFmtId="0" fontId="3" fillId="4" borderId="0" xfId="6" applyFont="1" applyFill="1" applyAlignment="1">
      <alignment horizontal="center"/>
    </xf>
    <xf numFmtId="0" fontId="0" fillId="3" borderId="0" xfId="0" applyFill="1" applyAlignment="1">
      <alignment vertical="center"/>
    </xf>
    <xf numFmtId="0" fontId="52" fillId="3" borderId="0" xfId="0" applyFont="1" applyFill="1"/>
    <xf numFmtId="0" fontId="52" fillId="3" borderId="1" xfId="0" applyFont="1" applyFill="1" applyBorder="1" applyAlignment="1">
      <alignment vertical="center"/>
    </xf>
    <xf numFmtId="0" fontId="8" fillId="3" borderId="2" xfId="9" applyFont="1" applyFill="1" applyBorder="1" applyAlignment="1" applyProtection="1">
      <alignment horizontal="center" vertical="center" wrapText="1"/>
      <protection hidden="1"/>
    </xf>
    <xf numFmtId="1" fontId="8" fillId="3" borderId="2" xfId="9" quotePrefix="1" applyNumberFormat="1" applyFont="1" applyFill="1" applyBorder="1" applyAlignment="1" applyProtection="1">
      <alignment horizontal="center" vertical="center"/>
      <protection hidden="1"/>
    </xf>
    <xf numFmtId="164" fontId="9" fillId="3" borderId="2" xfId="5" applyNumberFormat="1" applyFont="1" applyFill="1" applyBorder="1" applyAlignment="1" applyProtection="1">
      <alignment horizontal="center" vertical="center"/>
      <protection hidden="1"/>
    </xf>
    <xf numFmtId="164" fontId="9" fillId="3" borderId="3" xfId="5" applyNumberFormat="1" applyFont="1" applyFill="1" applyBorder="1" applyAlignment="1" applyProtection="1">
      <alignment horizontal="center" vertical="center"/>
      <protection hidden="1"/>
    </xf>
    <xf numFmtId="0" fontId="6" fillId="3" borderId="3" xfId="9" applyFont="1" applyFill="1" applyBorder="1" applyAlignment="1" applyProtection="1">
      <alignment horizontal="center" vertical="center"/>
      <protection hidden="1"/>
    </xf>
    <xf numFmtId="0" fontId="8" fillId="3" borderId="3" xfId="9" quotePrefix="1" applyFont="1" applyFill="1" applyBorder="1" applyAlignment="1" applyProtection="1">
      <alignment horizontal="center" vertical="center"/>
      <protection hidden="1"/>
    </xf>
    <xf numFmtId="164" fontId="6" fillId="3" borderId="3" xfId="5" applyNumberFormat="1" applyFont="1" applyFill="1" applyBorder="1" applyAlignment="1" applyProtection="1">
      <alignment horizontal="center" vertical="center"/>
      <protection hidden="1"/>
    </xf>
    <xf numFmtId="0" fontId="3" fillId="3" borderId="3" xfId="9" quotePrefix="1" applyFont="1" applyFill="1" applyBorder="1" applyAlignment="1" applyProtection="1">
      <alignment horizontal="center" vertical="center"/>
      <protection hidden="1"/>
    </xf>
    <xf numFmtId="0" fontId="9" fillId="3" borderId="3" xfId="9" applyFont="1" applyFill="1" applyBorder="1" applyAlignment="1" applyProtection="1">
      <alignment horizontal="center" vertical="center"/>
      <protection hidden="1"/>
    </xf>
    <xf numFmtId="0" fontId="9" fillId="3" borderId="4" xfId="9" applyFont="1" applyFill="1" applyBorder="1" applyAlignment="1" applyProtection="1">
      <alignment horizontal="center" vertical="center"/>
      <protection hidden="1"/>
    </xf>
    <xf numFmtId="0" fontId="9" fillId="3" borderId="2" xfId="9" applyFont="1" applyFill="1" applyBorder="1" applyAlignment="1" applyProtection="1">
      <alignment horizontal="center" vertical="center"/>
      <protection hidden="1"/>
    </xf>
    <xf numFmtId="0" fontId="8" fillId="3" borderId="3" xfId="9" applyFont="1" applyFill="1" applyBorder="1" applyAlignment="1" applyProtection="1">
      <alignment horizontal="center" vertical="center"/>
      <protection hidden="1"/>
    </xf>
    <xf numFmtId="0" fontId="24" fillId="5" borderId="0" xfId="10" applyFont="1" applyFill="1" applyAlignment="1" applyProtection="1">
      <alignment horizontal="center" vertical="center"/>
      <protection hidden="1"/>
    </xf>
    <xf numFmtId="0" fontId="24" fillId="3" borderId="0" xfId="10" applyFont="1" applyFill="1" applyAlignment="1" applyProtection="1">
      <alignment horizontal="center" vertical="center"/>
      <protection hidden="1"/>
    </xf>
    <xf numFmtId="0" fontId="3" fillId="3" borderId="0" xfId="6" applyFont="1" applyFill="1" applyAlignment="1">
      <alignment horizontal="center" vertical="center"/>
    </xf>
    <xf numFmtId="0" fontId="3" fillId="3" borderId="0" xfId="7" applyFill="1" applyAlignment="1">
      <alignment horizontal="center" vertical="center"/>
    </xf>
    <xf numFmtId="0" fontId="3" fillId="4" borderId="0" xfId="6" applyFont="1" applyFill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3" fillId="5" borderId="5" xfId="7" applyFont="1" applyFill="1" applyBorder="1" applyAlignment="1">
      <alignment horizontal="center" vertical="center"/>
    </xf>
    <xf numFmtId="43" fontId="34" fillId="2" borderId="6" xfId="2" applyFont="1" applyFill="1" applyBorder="1" applyAlignment="1" applyProtection="1">
      <alignment horizontal="right" vertical="center"/>
      <protection locked="0"/>
    </xf>
    <xf numFmtId="43" fontId="36" fillId="0" borderId="6" xfId="2" applyFont="1" applyBorder="1" applyAlignment="1">
      <alignment horizontal="right" vertical="center"/>
    </xf>
    <xf numFmtId="43" fontId="34" fillId="0" borderId="6" xfId="2" applyFont="1" applyBorder="1" applyAlignment="1" applyProtection="1">
      <alignment horizontal="right" vertical="center"/>
      <protection locked="0"/>
    </xf>
    <xf numFmtId="43" fontId="36" fillId="0" borderId="7" xfId="2" applyFont="1" applyBorder="1" applyAlignment="1">
      <alignment horizontal="right" vertical="center"/>
    </xf>
    <xf numFmtId="43" fontId="34" fillId="0" borderId="6" xfId="2" applyFont="1" applyBorder="1" applyAlignment="1" applyProtection="1">
      <alignment horizontal="center"/>
      <protection locked="0"/>
    </xf>
    <xf numFmtId="43" fontId="36" fillId="0" borderId="7" xfId="2" applyFont="1" applyBorder="1" applyAlignment="1">
      <alignment horizontal="center"/>
    </xf>
    <xf numFmtId="0" fontId="53" fillId="3" borderId="1" xfId="0" applyFont="1" applyFill="1" applyBorder="1" applyAlignment="1">
      <alignment vertical="center" textRotation="90" wrapText="1"/>
    </xf>
    <xf numFmtId="0" fontId="53" fillId="3" borderId="8" xfId="0" applyFont="1" applyFill="1" applyBorder="1" applyAlignment="1">
      <alignment vertical="center" textRotation="90" wrapText="1"/>
    </xf>
    <xf numFmtId="0" fontId="53" fillId="3" borderId="9" xfId="0" applyFont="1" applyFill="1" applyBorder="1" applyAlignment="1">
      <alignment vertical="center" textRotation="90" wrapText="1"/>
    </xf>
    <xf numFmtId="0" fontId="0" fillId="3" borderId="10" xfId="0" applyFill="1" applyBorder="1"/>
    <xf numFmtId="0" fontId="54" fillId="3" borderId="0" xfId="0" applyFont="1" applyFill="1" applyAlignment="1">
      <alignment horizontal="center" vertical="center"/>
    </xf>
    <xf numFmtId="0" fontId="52" fillId="3" borderId="11" xfId="0" applyFont="1" applyFill="1" applyBorder="1" applyAlignment="1">
      <alignment vertical="center"/>
    </xf>
    <xf numFmtId="0" fontId="48" fillId="5" borderId="12" xfId="0" applyFont="1" applyFill="1" applyBorder="1" applyAlignment="1">
      <alignment vertical="center"/>
    </xf>
    <xf numFmtId="0" fontId="48" fillId="5" borderId="0" xfId="0" applyFont="1" applyFill="1" applyAlignment="1">
      <alignment vertical="center"/>
    </xf>
    <xf numFmtId="0" fontId="5" fillId="3" borderId="0" xfId="6" applyFont="1" applyFill="1" applyAlignment="1">
      <alignment horizontal="right"/>
    </xf>
    <xf numFmtId="0" fontId="41" fillId="3" borderId="3" xfId="7" applyFont="1" applyFill="1" applyBorder="1" applyAlignment="1">
      <alignment horizontal="center" vertical="center"/>
    </xf>
    <xf numFmtId="0" fontId="41" fillId="3" borderId="4" xfId="7" applyFont="1" applyFill="1" applyBorder="1" applyAlignment="1">
      <alignment horizontal="center" vertical="center"/>
    </xf>
    <xf numFmtId="0" fontId="42" fillId="3" borderId="3" xfId="7" applyFont="1" applyFill="1" applyBorder="1" applyAlignment="1">
      <alignment horizontal="center" vertical="center"/>
    </xf>
    <xf numFmtId="0" fontId="42" fillId="3" borderId="4" xfId="7" applyFont="1" applyFill="1" applyBorder="1" applyAlignment="1">
      <alignment horizontal="center" vertical="center"/>
    </xf>
    <xf numFmtId="0" fontId="48" fillId="5" borderId="13" xfId="0" applyFont="1" applyFill="1" applyBorder="1" applyAlignment="1">
      <alignment vertical="center"/>
    </xf>
    <xf numFmtId="0" fontId="48" fillId="5" borderId="14" xfId="0" applyFont="1" applyFill="1" applyBorder="1" applyAlignment="1">
      <alignment vertical="center"/>
    </xf>
    <xf numFmtId="0" fontId="48" fillId="5" borderId="15" xfId="0" applyFont="1" applyFill="1" applyBorder="1" applyAlignment="1">
      <alignment vertical="center"/>
    </xf>
    <xf numFmtId="0" fontId="10" fillId="3" borderId="10" xfId="6" applyFill="1" applyBorder="1"/>
    <xf numFmtId="0" fontId="8" fillId="3" borderId="4" xfId="9" quotePrefix="1" applyFont="1" applyFill="1" applyBorder="1" applyAlignment="1" applyProtection="1">
      <alignment horizontal="center" vertical="center"/>
      <protection hidden="1"/>
    </xf>
    <xf numFmtId="164" fontId="9" fillId="3" borderId="4" xfId="5" applyNumberFormat="1" applyFont="1" applyFill="1" applyBorder="1" applyAlignment="1" applyProtection="1">
      <alignment horizontal="center" vertical="center"/>
      <protection hidden="1"/>
    </xf>
    <xf numFmtId="0" fontId="8" fillId="3" borderId="2" xfId="9" applyFont="1" applyFill="1" applyBorder="1" applyAlignment="1" applyProtection="1">
      <alignment horizontal="center" vertical="center"/>
      <protection hidden="1"/>
    </xf>
    <xf numFmtId="0" fontId="54" fillId="3" borderId="16" xfId="0" applyFont="1" applyFill="1" applyBorder="1" applyAlignment="1">
      <alignment horizontal="center" vertical="center"/>
    </xf>
    <xf numFmtId="0" fontId="54" fillId="3" borderId="10" xfId="0" applyFont="1" applyFill="1" applyBorder="1" applyAlignment="1">
      <alignment horizontal="center" vertical="center"/>
    </xf>
    <xf numFmtId="0" fontId="55" fillId="3" borderId="3" xfId="9" applyFont="1" applyFill="1" applyBorder="1" applyAlignment="1" applyProtection="1">
      <alignment horizontal="center" vertical="center"/>
      <protection hidden="1"/>
    </xf>
    <xf numFmtId="0" fontId="56" fillId="3" borderId="3" xfId="9" applyFont="1" applyFill="1" applyBorder="1" applyAlignment="1" applyProtection="1">
      <alignment horizontal="center" vertical="center"/>
      <protection hidden="1"/>
    </xf>
    <xf numFmtId="0" fontId="56" fillId="3" borderId="4" xfId="9" applyFont="1" applyFill="1" applyBorder="1" applyAlignment="1" applyProtection="1">
      <alignment horizontal="center" vertical="center"/>
      <protection hidden="1"/>
    </xf>
    <xf numFmtId="164" fontId="8" fillId="3" borderId="3" xfId="5" applyNumberFormat="1" applyFont="1" applyFill="1" applyBorder="1" applyAlignment="1" applyProtection="1">
      <alignment horizontal="center" vertical="center"/>
      <protection hidden="1"/>
    </xf>
    <xf numFmtId="0" fontId="56" fillId="3" borderId="0" xfId="9" applyFont="1" applyFill="1" applyAlignment="1" applyProtection="1">
      <alignment horizontal="center" vertical="center"/>
      <protection hidden="1"/>
    </xf>
    <xf numFmtId="0" fontId="57" fillId="3" borderId="3" xfId="0" applyFont="1" applyFill="1" applyBorder="1" applyAlignment="1" applyProtection="1">
      <alignment vertical="center"/>
      <protection locked="0"/>
    </xf>
    <xf numFmtId="0" fontId="50" fillId="3" borderId="3" xfId="0" applyFont="1" applyFill="1" applyBorder="1" applyAlignment="1" applyProtection="1">
      <alignment vertical="center"/>
      <protection locked="0"/>
    </xf>
    <xf numFmtId="0" fontId="57" fillId="3" borderId="2" xfId="0" applyFont="1" applyFill="1" applyBorder="1" applyAlignment="1">
      <alignment horizontal="center"/>
    </xf>
    <xf numFmtId="0" fontId="57" fillId="3" borderId="3" xfId="0" applyFont="1" applyFill="1" applyBorder="1" applyAlignment="1">
      <alignment horizontal="center"/>
    </xf>
    <xf numFmtId="0" fontId="57" fillId="3" borderId="4" xfId="0" applyFont="1" applyFill="1" applyBorder="1" applyAlignment="1">
      <alignment horizontal="center"/>
    </xf>
    <xf numFmtId="43" fontId="50" fillId="3" borderId="7" xfId="1" applyFont="1" applyFill="1" applyBorder="1"/>
    <xf numFmtId="0" fontId="57" fillId="3" borderId="17" xfId="0" applyFont="1" applyFill="1" applyBorder="1" applyAlignment="1">
      <alignment horizontal="center"/>
    </xf>
    <xf numFmtId="43" fontId="57" fillId="3" borderId="7" xfId="1" applyFont="1" applyFill="1" applyBorder="1"/>
    <xf numFmtId="0" fontId="57" fillId="3" borderId="2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horizontal="center" vertical="center"/>
    </xf>
    <xf numFmtId="0" fontId="57" fillId="3" borderId="3" xfId="0" applyFont="1" applyFill="1" applyBorder="1" applyAlignment="1">
      <alignment horizontal="center" vertical="center"/>
    </xf>
    <xf numFmtId="0" fontId="50" fillId="3" borderId="4" xfId="0" applyFont="1" applyFill="1" applyBorder="1" applyAlignment="1">
      <alignment horizontal="center" vertical="center"/>
    </xf>
    <xf numFmtId="0" fontId="57" fillId="3" borderId="4" xfId="0" applyFont="1" applyFill="1" applyBorder="1" applyAlignment="1">
      <alignment horizontal="center" vertical="center"/>
    </xf>
    <xf numFmtId="0" fontId="50" fillId="3" borderId="4" xfId="0" applyFont="1" applyFill="1" applyBorder="1" applyAlignment="1">
      <alignment horizontal="center"/>
    </xf>
    <xf numFmtId="43" fontId="50" fillId="3" borderId="7" xfId="1" applyFont="1" applyFill="1" applyBorder="1" applyAlignment="1">
      <alignment vertical="center"/>
    </xf>
    <xf numFmtId="0" fontId="50" fillId="5" borderId="18" xfId="0" applyFont="1" applyFill="1" applyBorder="1" applyAlignment="1">
      <alignment horizontal="center" vertical="center"/>
    </xf>
    <xf numFmtId="0" fontId="57" fillId="5" borderId="17" xfId="0" applyFont="1" applyFill="1" applyBorder="1" applyAlignment="1">
      <alignment horizontal="center" vertical="center"/>
    </xf>
    <xf numFmtId="0" fontId="50" fillId="5" borderId="19" xfId="0" applyFont="1" applyFill="1" applyBorder="1" applyAlignment="1">
      <alignment horizontal="left" vertical="center"/>
    </xf>
    <xf numFmtId="0" fontId="50" fillId="5" borderId="18" xfId="0" applyFont="1" applyFill="1" applyBorder="1" applyAlignment="1">
      <alignment horizontal="left" vertical="center"/>
    </xf>
    <xf numFmtId="43" fontId="50" fillId="5" borderId="20" xfId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55" fillId="5" borderId="0" xfId="0" applyFont="1" applyFill="1" applyAlignment="1">
      <alignment horizontal="center" vertical="center"/>
    </xf>
    <xf numFmtId="0" fontId="55" fillId="5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0" fontId="55" fillId="3" borderId="0" xfId="0" applyFont="1" applyFill="1" applyAlignment="1">
      <alignment vertical="center"/>
    </xf>
    <xf numFmtId="0" fontId="58" fillId="5" borderId="0" xfId="0" applyFont="1" applyFill="1" applyAlignment="1">
      <alignment vertical="center"/>
    </xf>
    <xf numFmtId="0" fontId="58" fillId="3" borderId="0" xfId="0" applyFont="1" applyFill="1" applyAlignment="1">
      <alignment vertical="center"/>
    </xf>
    <xf numFmtId="0" fontId="58" fillId="3" borderId="21" xfId="0" applyFont="1" applyFill="1" applyBorder="1" applyAlignment="1">
      <alignment vertical="center"/>
    </xf>
    <xf numFmtId="0" fontId="59" fillId="3" borderId="0" xfId="0" applyFont="1" applyFill="1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52" fillId="3" borderId="22" xfId="0" applyFont="1" applyFill="1" applyBorder="1"/>
    <xf numFmtId="0" fontId="0" fillId="3" borderId="22" xfId="0" applyFill="1" applyBorder="1"/>
    <xf numFmtId="0" fontId="0" fillId="3" borderId="22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48" fillId="3" borderId="0" xfId="0" applyFont="1" applyFill="1" applyAlignment="1">
      <alignment horizontal="center" vertical="center"/>
    </xf>
    <xf numFmtId="0" fontId="52" fillId="3" borderId="0" xfId="0" applyFont="1" applyFill="1" applyAlignment="1">
      <alignment vertical="center"/>
    </xf>
    <xf numFmtId="0" fontId="48" fillId="3" borderId="0" xfId="0" applyFont="1" applyFill="1" applyAlignment="1">
      <alignment horizontal="left"/>
    </xf>
    <xf numFmtId="0" fontId="48" fillId="3" borderId="0" xfId="0" applyFont="1" applyFill="1" applyAlignment="1">
      <alignment horizontal="center"/>
    </xf>
    <xf numFmtId="0" fontId="0" fillId="3" borderId="1" xfId="0" applyFill="1" applyBorder="1" applyAlignment="1">
      <alignment vertical="center"/>
    </xf>
    <xf numFmtId="43" fontId="47" fillId="3" borderId="16" xfId="0" applyNumberFormat="1" applyFont="1" applyFill="1" applyBorder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7" fillId="3" borderId="10" xfId="0" applyFont="1" applyFill="1" applyBorder="1" applyAlignment="1">
      <alignment horizontal="center" vertical="center"/>
    </xf>
    <xf numFmtId="0" fontId="56" fillId="3" borderId="2" xfId="0" applyFont="1" applyFill="1" applyBorder="1" applyAlignment="1">
      <alignment horizontal="center" vertical="center"/>
    </xf>
    <xf numFmtId="0" fontId="55" fillId="3" borderId="3" xfId="0" applyFont="1" applyFill="1" applyBorder="1" applyAlignment="1">
      <alignment horizontal="center" vertical="center"/>
    </xf>
    <xf numFmtId="0" fontId="56" fillId="3" borderId="3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3" borderId="0" xfId="0" applyFont="1" applyFill="1" applyAlignment="1">
      <alignment vertical="center"/>
    </xf>
    <xf numFmtId="0" fontId="56" fillId="3" borderId="0" xfId="0" applyFont="1" applyFill="1" applyAlignment="1">
      <alignment horizontal="center" vertical="center"/>
    </xf>
    <xf numFmtId="43" fontId="46" fillId="3" borderId="0" xfId="1" applyFill="1" applyAlignment="1">
      <alignment vertical="center"/>
    </xf>
    <xf numFmtId="0" fontId="6" fillId="3" borderId="22" xfId="7" applyFont="1" applyFill="1" applyBorder="1" applyAlignment="1">
      <alignment horizontal="center"/>
    </xf>
    <xf numFmtId="0" fontId="3" fillId="3" borderId="23" xfId="7" applyFill="1" applyBorder="1"/>
    <xf numFmtId="0" fontId="6" fillId="3" borderId="0" xfId="7" applyFont="1" applyFill="1" applyAlignment="1">
      <alignment horizontal="center"/>
    </xf>
    <xf numFmtId="0" fontId="9" fillId="3" borderId="0" xfId="7" applyFont="1" applyFill="1" applyAlignment="1">
      <alignment horizontal="center" vertical="center"/>
    </xf>
    <xf numFmtId="0" fontId="39" fillId="3" borderId="10" xfId="7" applyFont="1" applyFill="1" applyBorder="1" applyAlignment="1">
      <alignment horizontal="center"/>
    </xf>
    <xf numFmtId="0" fontId="6" fillId="3" borderId="1" xfId="7" applyFont="1" applyFill="1" applyBorder="1" applyAlignment="1">
      <alignment horizontal="center"/>
    </xf>
    <xf numFmtId="0" fontId="39" fillId="3" borderId="11" xfId="7" applyFont="1" applyFill="1" applyBorder="1"/>
    <xf numFmtId="0" fontId="8" fillId="3" borderId="24" xfId="7" applyFont="1" applyFill="1" applyBorder="1" applyAlignment="1">
      <alignment horizontal="center"/>
    </xf>
    <xf numFmtId="0" fontId="8" fillId="3" borderId="25" xfId="7" applyFont="1" applyFill="1" applyBorder="1" applyAlignment="1">
      <alignment horizontal="center"/>
    </xf>
    <xf numFmtId="0" fontId="8" fillId="3" borderId="25" xfId="7" applyFont="1" applyFill="1" applyBorder="1" applyAlignment="1">
      <alignment horizontal="center" vertical="center"/>
    </xf>
    <xf numFmtId="0" fontId="8" fillId="3" borderId="26" xfId="7" applyFont="1" applyFill="1" applyBorder="1" applyAlignment="1">
      <alignment horizontal="center"/>
    </xf>
    <xf numFmtId="0" fontId="40" fillId="3" borderId="8" xfId="7" applyFont="1" applyFill="1" applyBorder="1"/>
    <xf numFmtId="0" fontId="40" fillId="2" borderId="0" xfId="7" applyFont="1" applyFill="1" applyAlignment="1">
      <alignment horizontal="left"/>
    </xf>
    <xf numFmtId="0" fontId="40" fillId="2" borderId="0" xfId="7" applyFont="1" applyFill="1"/>
    <xf numFmtId="0" fontId="40" fillId="2" borderId="0" xfId="7" applyFont="1" applyFill="1" applyAlignment="1">
      <alignment horizontal="center"/>
    </xf>
    <xf numFmtId="0" fontId="40" fillId="2" borderId="27" xfId="7" applyFont="1" applyFill="1" applyBorder="1"/>
    <xf numFmtId="0" fontId="40" fillId="2" borderId="25" xfId="7" applyFont="1" applyFill="1" applyBorder="1"/>
    <xf numFmtId="0" fontId="40" fillId="2" borderId="27" xfId="7" applyFont="1" applyFill="1" applyBorder="1" applyAlignment="1">
      <alignment horizontal="left"/>
    </xf>
    <xf numFmtId="0" fontId="40" fillId="0" borderId="0" xfId="7" applyFont="1"/>
    <xf numFmtId="0" fontId="40" fillId="3" borderId="0" xfId="7" applyFont="1" applyFill="1" applyAlignment="1">
      <alignment horizontal="center"/>
    </xf>
    <xf numFmtId="0" fontId="40" fillId="3" borderId="0" xfId="7" applyFont="1" applyFill="1"/>
    <xf numFmtId="0" fontId="40" fillId="2" borderId="1" xfId="7" applyFont="1" applyFill="1" applyBorder="1" applyAlignment="1">
      <alignment horizontal="center" vertical="top"/>
    </xf>
    <xf numFmtId="0" fontId="40" fillId="2" borderId="1" xfId="7" applyFont="1" applyFill="1" applyBorder="1"/>
    <xf numFmtId="0" fontId="40" fillId="3" borderId="1" xfId="7" applyFont="1" applyFill="1" applyBorder="1" applyAlignment="1">
      <alignment horizontal="center"/>
    </xf>
    <xf numFmtId="0" fontId="40" fillId="3" borderId="1" xfId="7" applyFont="1" applyFill="1" applyBorder="1"/>
    <xf numFmtId="0" fontId="56" fillId="3" borderId="1" xfId="0" applyFont="1" applyFill="1" applyBorder="1" applyAlignment="1">
      <alignment vertical="center"/>
    </xf>
    <xf numFmtId="43" fontId="57" fillId="3" borderId="20" xfId="1" applyFont="1" applyFill="1" applyBorder="1" applyProtection="1">
      <protection locked="0"/>
    </xf>
    <xf numFmtId="43" fontId="46" fillId="0" borderId="0" xfId="1"/>
    <xf numFmtId="43" fontId="0" fillId="0" borderId="0" xfId="0" applyNumberFormat="1"/>
    <xf numFmtId="0" fontId="19" fillId="2" borderId="0" xfId="9" quotePrefix="1" applyFont="1" applyFill="1" applyAlignment="1" applyProtection="1">
      <alignment vertical="center"/>
      <protection hidden="1"/>
    </xf>
    <xf numFmtId="0" fontId="50" fillId="3" borderId="25" xfId="0" applyFont="1" applyFill="1" applyBorder="1" applyAlignment="1">
      <alignment vertical="center"/>
    </xf>
    <xf numFmtId="0" fontId="4" fillId="4" borderId="28" xfId="8" applyFont="1" applyFill="1" applyBorder="1" applyAlignment="1" applyProtection="1">
      <alignment horizontal="center"/>
      <protection hidden="1"/>
    </xf>
    <xf numFmtId="0" fontId="4" fillId="4" borderId="29" xfId="8" applyFont="1" applyFill="1" applyBorder="1" applyAlignment="1" applyProtection="1">
      <alignment horizontal="center"/>
      <protection hidden="1"/>
    </xf>
    <xf numFmtId="0" fontId="4" fillId="4" borderId="28" xfId="8" applyFont="1" applyFill="1" applyBorder="1" applyProtection="1">
      <protection hidden="1"/>
    </xf>
    <xf numFmtId="0" fontId="50" fillId="3" borderId="17" xfId="0" applyFont="1" applyFill="1" applyBorder="1" applyAlignment="1">
      <alignment horizontal="center"/>
    </xf>
    <xf numFmtId="0" fontId="4" fillId="4" borderId="18" xfId="8" applyFont="1" applyFill="1" applyBorder="1" applyAlignment="1" applyProtection="1">
      <alignment horizontal="center"/>
      <protection hidden="1"/>
    </xf>
    <xf numFmtId="0" fontId="59" fillId="3" borderId="3" xfId="0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vertical="center"/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43" fontId="60" fillId="3" borderId="0" xfId="1" applyFont="1" applyFill="1" applyAlignment="1" applyProtection="1">
      <alignment horizontal="right"/>
      <protection hidden="1"/>
    </xf>
    <xf numFmtId="43" fontId="46" fillId="3" borderId="0" xfId="1" applyFill="1" applyProtection="1">
      <protection hidden="1"/>
    </xf>
    <xf numFmtId="0" fontId="61" fillId="3" borderId="0" xfId="0" applyFont="1" applyFill="1" applyAlignment="1" applyProtection="1">
      <alignment horizontal="center"/>
      <protection hidden="1"/>
    </xf>
    <xf numFmtId="0" fontId="49" fillId="3" borderId="0" xfId="0" quotePrefix="1" applyFont="1" applyFill="1" applyAlignment="1" applyProtection="1">
      <alignment horizontal="center"/>
      <protection hidden="1"/>
    </xf>
    <xf numFmtId="43" fontId="49" fillId="3" borderId="10" xfId="1" applyFont="1" applyFill="1" applyBorder="1" applyProtection="1">
      <protection hidden="1"/>
    </xf>
    <xf numFmtId="0" fontId="62" fillId="3" borderId="0" xfId="0" quotePrefix="1" applyFont="1" applyFill="1" applyAlignment="1" applyProtection="1">
      <alignment horizontal="center"/>
      <protection hidden="1"/>
    </xf>
    <xf numFmtId="43" fontId="62" fillId="3" borderId="30" xfId="1" applyFont="1" applyFill="1" applyBorder="1" applyProtection="1">
      <protection hidden="1"/>
    </xf>
    <xf numFmtId="43" fontId="62" fillId="3" borderId="10" xfId="1" applyFont="1" applyFill="1" applyBorder="1" applyProtection="1">
      <protection hidden="1"/>
    </xf>
    <xf numFmtId="0" fontId="49" fillId="3" borderId="0" xfId="0" applyFont="1" applyFill="1" applyAlignment="1" applyProtection="1">
      <alignment horizontal="center"/>
      <protection hidden="1"/>
    </xf>
    <xf numFmtId="0" fontId="62" fillId="3" borderId="0" xfId="0" applyFont="1" applyFill="1" applyAlignment="1" applyProtection="1">
      <alignment horizontal="center"/>
      <protection hidden="1"/>
    </xf>
    <xf numFmtId="43" fontId="62" fillId="3" borderId="31" xfId="1" applyFont="1" applyFill="1" applyBorder="1" applyProtection="1">
      <protection hidden="1"/>
    </xf>
    <xf numFmtId="0" fontId="49" fillId="3" borderId="1" xfId="0" applyFont="1" applyFill="1" applyBorder="1" applyAlignment="1" applyProtection="1">
      <alignment horizontal="center"/>
      <protection hidden="1"/>
    </xf>
    <xf numFmtId="43" fontId="49" fillId="3" borderId="11" xfId="1" applyFont="1" applyFill="1" applyBorder="1" applyProtection="1"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0" fontId="48" fillId="3" borderId="9" xfId="0" applyFont="1" applyFill="1" applyBorder="1" applyProtection="1">
      <protection hidden="1"/>
    </xf>
    <xf numFmtId="0" fontId="48" fillId="3" borderId="1" xfId="0" applyFont="1" applyFill="1" applyBorder="1" applyProtection="1">
      <protection hidden="1"/>
    </xf>
    <xf numFmtId="0" fontId="0" fillId="3" borderId="1" xfId="0" applyFill="1" applyBorder="1" applyAlignment="1" applyProtection="1">
      <alignment horizontal="center"/>
      <protection hidden="1"/>
    </xf>
    <xf numFmtId="43" fontId="48" fillId="3" borderId="11" xfId="1" applyFont="1" applyFill="1" applyBorder="1" applyProtection="1">
      <protection hidden="1"/>
    </xf>
    <xf numFmtId="0" fontId="63" fillId="6" borderId="0" xfId="0" quotePrefix="1" applyFont="1" applyFill="1" applyAlignment="1" applyProtection="1">
      <alignment horizontal="center"/>
      <protection hidden="1"/>
    </xf>
    <xf numFmtId="43" fontId="63" fillId="6" borderId="10" xfId="1" applyFont="1" applyFill="1" applyBorder="1" applyProtection="1">
      <protection hidden="1"/>
    </xf>
    <xf numFmtId="0" fontId="64" fillId="3" borderId="0" xfId="0" applyFont="1" applyFill="1" applyAlignment="1" applyProtection="1">
      <alignment horizontal="center" vertical="center"/>
      <protection hidden="1"/>
    </xf>
    <xf numFmtId="0" fontId="27" fillId="2" borderId="0" xfId="9" applyFont="1" applyFill="1" applyAlignment="1" applyProtection="1">
      <alignment vertical="center"/>
      <protection hidden="1"/>
    </xf>
    <xf numFmtId="0" fontId="25" fillId="0" borderId="0" xfId="10" applyFont="1" applyAlignment="1" applyProtection="1">
      <alignment horizontal="center" vertical="center"/>
      <protection hidden="1"/>
    </xf>
    <xf numFmtId="0" fontId="4" fillId="0" borderId="4" xfId="6" applyFont="1" applyBorder="1" applyAlignment="1" applyProtection="1">
      <alignment horizontal="center"/>
      <protection locked="0"/>
    </xf>
    <xf numFmtId="0" fontId="4" fillId="0" borderId="7" xfId="6" applyFont="1" applyBorder="1" applyAlignment="1" applyProtection="1">
      <alignment horizontal="center"/>
      <protection locked="0"/>
    </xf>
    <xf numFmtId="0" fontId="16" fillId="2" borderId="32" xfId="8" applyFont="1" applyFill="1" applyBorder="1" applyAlignment="1" applyProtection="1">
      <alignment horizontal="center"/>
      <protection hidden="1"/>
    </xf>
    <xf numFmtId="0" fontId="16" fillId="2" borderId="33" xfId="8" applyFont="1" applyFill="1" applyBorder="1" applyAlignment="1" applyProtection="1">
      <alignment horizontal="center"/>
      <protection hidden="1"/>
    </xf>
    <xf numFmtId="43" fontId="16" fillId="2" borderId="17" xfId="3" applyFont="1" applyFill="1" applyBorder="1" applyAlignment="1" applyProtection="1">
      <alignment horizontal="center"/>
      <protection hidden="1"/>
    </xf>
    <xf numFmtId="43" fontId="16" fillId="2" borderId="20" xfId="3" applyFont="1" applyFill="1" applyBorder="1" applyAlignment="1" applyProtection="1">
      <alignment horizontal="center"/>
      <protection hidden="1"/>
    </xf>
    <xf numFmtId="1" fontId="4" fillId="0" borderId="4" xfId="8" applyNumberFormat="1" applyFont="1" applyBorder="1" applyAlignment="1" applyProtection="1">
      <alignment horizontal="center"/>
      <protection locked="0"/>
    </xf>
    <xf numFmtId="0" fontId="16" fillId="0" borderId="4" xfId="8" applyFont="1" applyBorder="1" applyAlignment="1" applyProtection="1">
      <alignment horizontal="center"/>
      <protection locked="0"/>
    </xf>
    <xf numFmtId="43" fontId="16" fillId="0" borderId="4" xfId="3" applyFont="1" applyBorder="1" applyAlignment="1" applyProtection="1">
      <alignment horizontal="center"/>
      <protection locked="0"/>
    </xf>
    <xf numFmtId="49" fontId="16" fillId="0" borderId="4" xfId="3" applyNumberFormat="1" applyFont="1" applyBorder="1" applyAlignment="1" applyProtection="1">
      <alignment horizontal="center"/>
      <protection locked="0"/>
    </xf>
    <xf numFmtId="165" fontId="16" fillId="0" borderId="4" xfId="3" applyNumberFormat="1" applyFont="1" applyBorder="1" applyAlignment="1" applyProtection="1">
      <alignment horizontal="center" vertical="center"/>
      <protection locked="0"/>
    </xf>
    <xf numFmtId="43" fontId="16" fillId="0" borderId="3" xfId="3" applyFont="1" applyBorder="1" applyAlignment="1" applyProtection="1">
      <alignment horizontal="center"/>
      <protection locked="0"/>
    </xf>
    <xf numFmtId="0" fontId="4" fillId="0" borderId="3" xfId="6" applyFont="1" applyBorder="1" applyAlignment="1" applyProtection="1">
      <alignment horizontal="center"/>
      <protection locked="0"/>
    </xf>
    <xf numFmtId="0" fontId="4" fillId="0" borderId="6" xfId="6" applyFont="1" applyBorder="1" applyAlignment="1" applyProtection="1">
      <alignment horizontal="center"/>
      <protection locked="0"/>
    </xf>
    <xf numFmtId="1" fontId="4" fillId="0" borderId="3" xfId="8" applyNumberFormat="1" applyFont="1" applyBorder="1" applyAlignment="1" applyProtection="1">
      <alignment horizontal="center"/>
      <protection locked="0"/>
    </xf>
    <xf numFmtId="0" fontId="16" fillId="0" borderId="3" xfId="8" applyFont="1" applyBorder="1" applyAlignment="1" applyProtection="1">
      <alignment horizontal="center"/>
      <protection locked="0"/>
    </xf>
    <xf numFmtId="49" fontId="16" fillId="0" borderId="3" xfId="3" applyNumberFormat="1" applyFont="1" applyBorder="1" applyAlignment="1" applyProtection="1">
      <alignment horizontal="center"/>
      <protection locked="0"/>
    </xf>
    <xf numFmtId="165" fontId="16" fillId="0" borderId="3" xfId="3" applyNumberFormat="1" applyFont="1" applyBorder="1" applyAlignment="1" applyProtection="1">
      <alignment horizontal="center" vertical="center"/>
      <protection locked="0"/>
    </xf>
    <xf numFmtId="0" fontId="16" fillId="4" borderId="12" xfId="6" applyFont="1" applyFill="1" applyBorder="1" applyAlignment="1" applyProtection="1">
      <alignment horizontal="left"/>
      <protection hidden="1"/>
    </xf>
    <xf numFmtId="0" fontId="16" fillId="4" borderId="2" xfId="6" applyFont="1" applyFill="1" applyBorder="1" applyAlignment="1" applyProtection="1">
      <alignment horizontal="left"/>
      <protection hidden="1"/>
    </xf>
    <xf numFmtId="0" fontId="16" fillId="4" borderId="5" xfId="6" applyFont="1" applyFill="1" applyBorder="1" applyAlignment="1" applyProtection="1">
      <alignment horizontal="left"/>
      <protection hidden="1"/>
    </xf>
    <xf numFmtId="0" fontId="18" fillId="4" borderId="3" xfId="6" applyFont="1" applyFill="1" applyBorder="1" applyAlignment="1" applyProtection="1">
      <alignment horizontal="center" vertical="center"/>
      <protection hidden="1"/>
    </xf>
    <xf numFmtId="0" fontId="18" fillId="4" borderId="6" xfId="6" applyFont="1" applyFill="1" applyBorder="1" applyAlignment="1" applyProtection="1">
      <alignment horizontal="center" vertical="center"/>
      <protection hidden="1"/>
    </xf>
    <xf numFmtId="0" fontId="4" fillId="3" borderId="0" xfId="8" applyFont="1" applyFill="1" applyAlignment="1" applyProtection="1">
      <alignment horizontal="center"/>
      <protection hidden="1"/>
    </xf>
    <xf numFmtId="0" fontId="26" fillId="3" borderId="1" xfId="6" applyFont="1" applyFill="1" applyBorder="1"/>
    <xf numFmtId="0" fontId="17" fillId="3" borderId="0" xfId="8" applyFont="1" applyFill="1" applyAlignment="1" applyProtection="1">
      <alignment horizontal="center" vertical="center"/>
      <protection hidden="1"/>
    </xf>
    <xf numFmtId="0" fontId="52" fillId="3" borderId="34" xfId="0" applyFont="1" applyFill="1" applyBorder="1" applyAlignment="1">
      <alignment horizontal="left"/>
    </xf>
    <xf numFmtId="0" fontId="54" fillId="3" borderId="3" xfId="0" applyFont="1" applyFill="1" applyBorder="1" applyAlignment="1" applyProtection="1">
      <alignment horizontal="center" vertical="center"/>
      <protection locked="0" hidden="1"/>
    </xf>
    <xf numFmtId="0" fontId="54" fillId="3" borderId="3" xfId="0" applyFont="1" applyFill="1" applyBorder="1" applyAlignment="1" applyProtection="1">
      <alignment horizontal="left" vertical="center"/>
      <protection locked="0" hidden="1"/>
    </xf>
    <xf numFmtId="0" fontId="52" fillId="3" borderId="0" xfId="0" applyFont="1" applyFill="1" applyAlignment="1">
      <alignment horizontal="center"/>
    </xf>
    <xf numFmtId="0" fontId="54" fillId="3" borderId="35" xfId="0" applyFont="1" applyFill="1" applyBorder="1" applyAlignment="1" applyProtection="1">
      <alignment horizontal="center" vertical="center"/>
      <protection locked="0" hidden="1"/>
    </xf>
    <xf numFmtId="0" fontId="54" fillId="3" borderId="36" xfId="0" applyFont="1" applyFill="1" applyBorder="1" applyAlignment="1" applyProtection="1">
      <alignment horizontal="center" vertical="center"/>
      <protection locked="0" hidden="1"/>
    </xf>
    <xf numFmtId="0" fontId="54" fillId="3" borderId="37" xfId="0" applyFont="1" applyFill="1" applyBorder="1" applyAlignment="1" applyProtection="1">
      <alignment horizontal="center" vertical="center"/>
      <protection locked="0" hidden="1"/>
    </xf>
    <xf numFmtId="0" fontId="21" fillId="3" borderId="0" xfId="8" applyFont="1" applyFill="1" applyAlignment="1" applyProtection="1">
      <alignment horizontal="left"/>
      <protection hidden="1"/>
    </xf>
    <xf numFmtId="0" fontId="16" fillId="3" borderId="0" xfId="6" applyFont="1" applyFill="1" applyAlignment="1" applyProtection="1">
      <alignment horizontal="center"/>
      <protection hidden="1"/>
    </xf>
    <xf numFmtId="14" fontId="4" fillId="0" borderId="4" xfId="8" applyNumberFormat="1" applyFont="1" applyBorder="1" applyAlignment="1" applyProtection="1">
      <alignment horizontal="center"/>
      <protection locked="0"/>
    </xf>
    <xf numFmtId="0" fontId="4" fillId="0" borderId="4" xfId="8" applyFont="1" applyBorder="1" applyAlignment="1" applyProtection="1">
      <alignment horizontal="center"/>
      <protection locked="0"/>
    </xf>
    <xf numFmtId="166" fontId="16" fillId="0" borderId="4" xfId="8" applyNumberFormat="1" applyFont="1" applyBorder="1" applyAlignment="1" applyProtection="1">
      <alignment horizontal="center"/>
      <protection locked="0"/>
    </xf>
    <xf numFmtId="14" fontId="4" fillId="0" borderId="3" xfId="8" applyNumberFormat="1" applyFont="1" applyBorder="1" applyAlignment="1" applyProtection="1">
      <alignment horizontal="center"/>
      <protection locked="0"/>
    </xf>
    <xf numFmtId="0" fontId="4" fillId="0" borderId="3" xfId="8" applyFont="1" applyBorder="1" applyAlignment="1" applyProtection="1">
      <alignment horizontal="center"/>
      <protection locked="0"/>
    </xf>
    <xf numFmtId="166" fontId="16" fillId="0" borderId="3" xfId="8" applyNumberFormat="1" applyFont="1" applyBorder="1" applyAlignment="1" applyProtection="1">
      <alignment horizontal="center"/>
      <protection locked="0"/>
    </xf>
    <xf numFmtId="43" fontId="16" fillId="3" borderId="0" xfId="3" applyFont="1" applyFill="1" applyAlignment="1">
      <alignment horizontal="center"/>
    </xf>
    <xf numFmtId="0" fontId="52" fillId="3" borderId="34" xfId="0" applyFont="1" applyFill="1" applyBorder="1" applyAlignment="1">
      <alignment horizontal="center"/>
    </xf>
    <xf numFmtId="0" fontId="54" fillId="3" borderId="35" xfId="0" applyFont="1" applyFill="1" applyBorder="1" applyAlignment="1" applyProtection="1">
      <alignment horizontal="left" vertical="center"/>
      <protection locked="0" hidden="1"/>
    </xf>
    <xf numFmtId="0" fontId="54" fillId="3" borderId="36" xfId="0" applyFont="1" applyFill="1" applyBorder="1" applyAlignment="1" applyProtection="1">
      <alignment horizontal="left" vertical="center"/>
      <protection locked="0" hidden="1"/>
    </xf>
    <xf numFmtId="0" fontId="54" fillId="3" borderId="37" xfId="0" applyFont="1" applyFill="1" applyBorder="1" applyAlignment="1" applyProtection="1">
      <alignment horizontal="left" vertical="center"/>
      <protection locked="0" hidden="1"/>
    </xf>
    <xf numFmtId="166" fontId="16" fillId="0" borderId="3" xfId="8" applyNumberFormat="1" applyFont="1" applyBorder="1" applyAlignment="1" applyProtection="1">
      <alignment horizontal="center" vertical="center"/>
      <protection locked="0"/>
    </xf>
    <xf numFmtId="0" fontId="45" fillId="3" borderId="22" xfId="6" applyFont="1" applyFill="1" applyBorder="1" applyAlignment="1">
      <alignment horizontal="left" vertical="top"/>
    </xf>
    <xf numFmtId="0" fontId="55" fillId="3" borderId="3" xfId="0" applyFont="1" applyFill="1" applyBorder="1" applyAlignment="1">
      <alignment horizontal="left" vertical="center"/>
    </xf>
    <xf numFmtId="0" fontId="56" fillId="3" borderId="4" xfId="0" applyFont="1" applyFill="1" applyBorder="1"/>
    <xf numFmtId="0" fontId="64" fillId="3" borderId="3" xfId="0" applyFont="1" applyFill="1" applyBorder="1" applyAlignment="1" applyProtection="1">
      <alignment horizontal="center" vertical="center"/>
      <protection locked="0" hidden="1"/>
    </xf>
    <xf numFmtId="0" fontId="3" fillId="3" borderId="35" xfId="0" applyFont="1" applyFill="1" applyBorder="1" applyAlignment="1">
      <alignment horizontal="left" vertical="center"/>
    </xf>
    <xf numFmtId="0" fontId="3" fillId="3" borderId="36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43" fontId="57" fillId="3" borderId="3" xfId="1" applyFont="1" applyFill="1" applyBorder="1" applyProtection="1">
      <protection locked="0"/>
    </xf>
    <xf numFmtId="0" fontId="56" fillId="3" borderId="32" xfId="0" applyFont="1" applyFill="1" applyBorder="1" applyAlignment="1">
      <alignment horizontal="left"/>
    </xf>
    <xf numFmtId="0" fontId="56" fillId="3" borderId="40" xfId="0" applyFont="1" applyFill="1" applyBorder="1" applyAlignment="1">
      <alignment horizontal="left"/>
    </xf>
    <xf numFmtId="0" fontId="56" fillId="3" borderId="33" xfId="0" applyFont="1" applyFill="1" applyBorder="1" applyAlignment="1">
      <alignment horizontal="left"/>
    </xf>
    <xf numFmtId="0" fontId="57" fillId="0" borderId="38" xfId="0" applyFont="1" applyBorder="1" applyAlignment="1">
      <alignment horizontal="center" vertical="center" textRotation="90"/>
    </xf>
    <xf numFmtId="0" fontId="57" fillId="0" borderId="39" xfId="0" applyFont="1" applyBorder="1" applyAlignment="1">
      <alignment horizontal="center" vertical="center" textRotation="90"/>
    </xf>
    <xf numFmtId="0" fontId="57" fillId="0" borderId="27" xfId="0" applyFont="1" applyBorder="1" applyAlignment="1">
      <alignment horizontal="center" vertical="center" textRotation="90"/>
    </xf>
    <xf numFmtId="0" fontId="56" fillId="5" borderId="49" xfId="0" applyFont="1" applyFill="1" applyBorder="1" applyAlignment="1">
      <alignment horizontal="center" vertical="center" textRotation="90" wrapText="1"/>
    </xf>
    <xf numFmtId="0" fontId="56" fillId="5" borderId="28" xfId="0" applyFont="1" applyFill="1" applyBorder="1" applyAlignment="1">
      <alignment horizontal="center" vertical="center" textRotation="90" wrapText="1"/>
    </xf>
    <xf numFmtId="0" fontId="56" fillId="5" borderId="29" xfId="0" applyFont="1" applyFill="1" applyBorder="1" applyAlignment="1">
      <alignment horizontal="center" vertical="center" textRotation="90" wrapText="1"/>
    </xf>
    <xf numFmtId="0" fontId="55" fillId="3" borderId="3" xfId="0" applyFont="1" applyFill="1" applyBorder="1"/>
    <xf numFmtId="0" fontId="55" fillId="3" borderId="2" xfId="0" applyFont="1" applyFill="1" applyBorder="1" applyAlignment="1">
      <alignment horizontal="left" vertical="center"/>
    </xf>
    <xf numFmtId="0" fontId="48" fillId="5" borderId="13" xfId="0" applyFont="1" applyFill="1" applyBorder="1" applyAlignment="1">
      <alignment horizontal="left" vertical="center"/>
    </xf>
    <xf numFmtId="0" fontId="48" fillId="5" borderId="14" xfId="0" applyFont="1" applyFill="1" applyBorder="1" applyAlignment="1">
      <alignment horizontal="left" vertical="center"/>
    </xf>
    <xf numFmtId="0" fontId="48" fillId="5" borderId="15" xfId="0" applyFont="1" applyFill="1" applyBorder="1" applyAlignment="1">
      <alignment horizontal="left" vertical="center"/>
    </xf>
    <xf numFmtId="0" fontId="57" fillId="0" borderId="38" xfId="0" applyFont="1" applyBorder="1" applyAlignment="1">
      <alignment horizontal="center" vertical="center"/>
    </xf>
    <xf numFmtId="0" fontId="57" fillId="0" borderId="39" xfId="0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/>
    </xf>
    <xf numFmtId="43" fontId="57" fillId="3" borderId="2" xfId="1" applyFont="1" applyFill="1" applyBorder="1" applyProtection="1">
      <protection locked="0"/>
    </xf>
    <xf numFmtId="0" fontId="52" fillId="3" borderId="41" xfId="0" applyFont="1" applyFill="1" applyBorder="1" applyAlignment="1">
      <alignment horizontal="center"/>
    </xf>
    <xf numFmtId="0" fontId="55" fillId="3" borderId="2" xfId="0" applyFont="1" applyFill="1" applyBorder="1"/>
    <xf numFmtId="0" fontId="64" fillId="3" borderId="35" xfId="0" applyFont="1" applyFill="1" applyBorder="1" applyAlignment="1" applyProtection="1">
      <alignment horizontal="left" vertical="center"/>
      <protection locked="0" hidden="1"/>
    </xf>
    <xf numFmtId="0" fontId="64" fillId="3" borderId="36" xfId="0" applyFont="1" applyFill="1" applyBorder="1" applyAlignment="1" applyProtection="1">
      <alignment horizontal="left" vertical="center"/>
      <protection locked="0" hidden="1"/>
    </xf>
    <xf numFmtId="0" fontId="64" fillId="3" borderId="37" xfId="0" applyFont="1" applyFill="1" applyBorder="1" applyAlignment="1" applyProtection="1">
      <alignment horizontal="left" vertical="center"/>
      <protection locked="0" hidden="1"/>
    </xf>
    <xf numFmtId="0" fontId="52" fillId="3" borderId="0" xfId="0" applyFont="1" applyFill="1" applyAlignment="1">
      <alignment horizontal="left"/>
    </xf>
    <xf numFmtId="0" fontId="64" fillId="3" borderId="35" xfId="0" applyFont="1" applyFill="1" applyBorder="1" applyAlignment="1" applyProtection="1">
      <alignment horizontal="center" vertical="center"/>
      <protection locked="0" hidden="1"/>
    </xf>
    <xf numFmtId="0" fontId="64" fillId="3" borderId="37" xfId="0" applyFont="1" applyFill="1" applyBorder="1" applyAlignment="1" applyProtection="1">
      <alignment horizontal="center" vertical="center"/>
      <protection locked="0" hidden="1"/>
    </xf>
    <xf numFmtId="43" fontId="57" fillId="3" borderId="2" xfId="1" applyFont="1" applyFill="1" applyBorder="1" applyAlignment="1" applyProtection="1">
      <alignment vertical="center"/>
      <protection locked="0"/>
    </xf>
    <xf numFmtId="0" fontId="57" fillId="0" borderId="0" xfId="0" applyFont="1" applyAlignment="1">
      <alignment horizontal="center" vertical="center"/>
    </xf>
    <xf numFmtId="43" fontId="57" fillId="3" borderId="5" xfId="1" applyFont="1" applyFill="1" applyBorder="1" applyAlignment="1">
      <alignment horizontal="center"/>
    </xf>
    <xf numFmtId="43" fontId="57" fillId="3" borderId="42" xfId="1" applyFont="1" applyFill="1" applyBorder="1" applyAlignment="1">
      <alignment horizontal="center"/>
    </xf>
    <xf numFmtId="43" fontId="57" fillId="3" borderId="6" xfId="1" applyFont="1" applyFill="1" applyBorder="1" applyAlignment="1">
      <alignment horizontal="center"/>
    </xf>
    <xf numFmtId="0" fontId="65" fillId="5" borderId="19" xfId="0" applyFont="1" applyFill="1" applyBorder="1" applyAlignment="1">
      <alignment horizontal="center" vertical="center" textRotation="90" wrapText="1"/>
    </xf>
    <xf numFmtId="0" fontId="65" fillId="5" borderId="43" xfId="0" applyFont="1" applyFill="1" applyBorder="1" applyAlignment="1">
      <alignment horizontal="center" vertical="center" textRotation="90" wrapText="1"/>
    </xf>
    <xf numFmtId="0" fontId="65" fillId="5" borderId="44" xfId="0" applyFont="1" applyFill="1" applyBorder="1" applyAlignment="1">
      <alignment horizontal="center" vertical="center" textRotation="90" wrapText="1"/>
    </xf>
    <xf numFmtId="0" fontId="56" fillId="3" borderId="4" xfId="0" applyFont="1" applyFill="1" applyBorder="1" applyAlignment="1">
      <alignment horizontal="left" vertical="center"/>
    </xf>
    <xf numFmtId="0" fontId="50" fillId="5" borderId="17" xfId="0" applyFont="1" applyFill="1" applyBorder="1" applyAlignment="1">
      <alignment vertical="center"/>
    </xf>
    <xf numFmtId="43" fontId="57" fillId="3" borderId="3" xfId="1" applyFont="1" applyFill="1" applyBorder="1" applyAlignment="1" applyProtection="1">
      <alignment vertical="center"/>
      <protection locked="0"/>
    </xf>
    <xf numFmtId="0" fontId="56" fillId="3" borderId="45" xfId="0" applyFont="1" applyFill="1" applyBorder="1"/>
    <xf numFmtId="0" fontId="56" fillId="3" borderId="46" xfId="0" applyFont="1" applyFill="1" applyBorder="1"/>
    <xf numFmtId="0" fontId="56" fillId="3" borderId="47" xfId="0" applyFont="1" applyFill="1" applyBorder="1"/>
    <xf numFmtId="43" fontId="57" fillId="3" borderId="35" xfId="1" applyFont="1" applyFill="1" applyBorder="1" applyAlignment="1" applyProtection="1">
      <alignment horizontal="center" vertical="center"/>
      <protection locked="0"/>
    </xf>
    <xf numFmtId="43" fontId="57" fillId="3" borderId="37" xfId="1" applyFont="1" applyFill="1" applyBorder="1" applyAlignment="1" applyProtection="1">
      <alignment horizontal="center" vertical="center"/>
      <protection locked="0"/>
    </xf>
    <xf numFmtId="0" fontId="55" fillId="3" borderId="2" xfId="0" applyFont="1" applyFill="1" applyBorder="1" applyAlignment="1">
      <alignment vertical="center"/>
    </xf>
    <xf numFmtId="0" fontId="51" fillId="3" borderId="21" xfId="0" applyFont="1" applyFill="1" applyBorder="1" applyAlignment="1">
      <alignment vertical="center"/>
    </xf>
    <xf numFmtId="43" fontId="57" fillId="3" borderId="48" xfId="1" applyFont="1" applyFill="1" applyBorder="1" applyAlignment="1">
      <alignment horizontal="center"/>
    </xf>
    <xf numFmtId="43" fontId="57" fillId="3" borderId="5" xfId="1" applyFont="1" applyFill="1" applyBorder="1" applyAlignment="1">
      <alignment horizontal="center" vertical="center"/>
    </xf>
    <xf numFmtId="43" fontId="57" fillId="3" borderId="6" xfId="1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50" fillId="5" borderId="49" xfId="0" applyFont="1" applyFill="1" applyBorder="1" applyAlignment="1">
      <alignment horizontal="center" vertical="center" textRotation="90" wrapText="1"/>
    </xf>
    <xf numFmtId="0" fontId="50" fillId="5" borderId="28" xfId="0" applyFont="1" applyFill="1" applyBorder="1" applyAlignment="1">
      <alignment horizontal="center" vertical="center" textRotation="90" wrapText="1"/>
    </xf>
    <xf numFmtId="0" fontId="50" fillId="5" borderId="29" xfId="0" applyFont="1" applyFill="1" applyBorder="1" applyAlignment="1">
      <alignment horizontal="center" vertical="center" textRotation="90" wrapText="1"/>
    </xf>
    <xf numFmtId="0" fontId="66" fillId="3" borderId="35" xfId="0" applyFont="1" applyFill="1" applyBorder="1" applyAlignment="1">
      <alignment vertical="center"/>
    </xf>
    <xf numFmtId="0" fontId="66" fillId="3" borderId="36" xfId="0" applyFont="1" applyFill="1" applyBorder="1" applyAlignment="1">
      <alignment vertical="center"/>
    </xf>
    <xf numFmtId="0" fontId="66" fillId="3" borderId="37" xfId="0" applyFont="1" applyFill="1" applyBorder="1" applyAlignment="1">
      <alignment vertical="center"/>
    </xf>
    <xf numFmtId="0" fontId="55" fillId="3" borderId="3" xfId="0" applyFont="1" applyFill="1" applyBorder="1" applyAlignment="1">
      <alignment vertical="center"/>
    </xf>
    <xf numFmtId="0" fontId="66" fillId="3" borderId="3" xfId="0" applyFont="1" applyFill="1" applyBorder="1" applyAlignment="1">
      <alignment horizontal="left" vertical="center" wrapText="1"/>
    </xf>
    <xf numFmtId="43" fontId="57" fillId="3" borderId="35" xfId="1" applyFont="1" applyFill="1" applyBorder="1" applyAlignment="1" applyProtection="1">
      <alignment vertical="center"/>
      <protection locked="0"/>
    </xf>
    <xf numFmtId="43" fontId="57" fillId="3" borderId="36" xfId="1" applyFont="1" applyFill="1" applyBorder="1" applyAlignment="1" applyProtection="1">
      <alignment vertical="center"/>
      <protection locked="0"/>
    </xf>
    <xf numFmtId="0" fontId="56" fillId="3" borderId="4" xfId="0" applyFont="1" applyFill="1" applyBorder="1" applyAlignment="1">
      <alignment vertical="center"/>
    </xf>
    <xf numFmtId="0" fontId="53" fillId="5" borderId="19" xfId="0" applyFont="1" applyFill="1" applyBorder="1" applyAlignment="1">
      <alignment horizontal="right" vertical="center" textRotation="90" wrapText="1"/>
    </xf>
    <xf numFmtId="0" fontId="53" fillId="5" borderId="43" xfId="0" applyFont="1" applyFill="1" applyBorder="1" applyAlignment="1">
      <alignment horizontal="right" vertical="center" textRotation="90" wrapText="1"/>
    </xf>
    <xf numFmtId="0" fontId="53" fillId="5" borderId="44" xfId="0" applyFont="1" applyFill="1" applyBorder="1" applyAlignment="1">
      <alignment horizontal="right" vertical="center" textRotation="90" wrapText="1"/>
    </xf>
    <xf numFmtId="0" fontId="52" fillId="5" borderId="19" xfId="0" applyFont="1" applyFill="1" applyBorder="1" applyAlignment="1">
      <alignment horizontal="center" vertical="center" textRotation="90" wrapText="1"/>
    </xf>
    <xf numFmtId="0" fontId="52" fillId="5" borderId="43" xfId="0" applyFont="1" applyFill="1" applyBorder="1" applyAlignment="1">
      <alignment horizontal="center" vertical="center" textRotation="90" wrapText="1"/>
    </xf>
    <xf numFmtId="0" fontId="52" fillId="5" borderId="44" xfId="0" applyFont="1" applyFill="1" applyBorder="1" applyAlignment="1">
      <alignment horizontal="center" vertical="center" textRotation="90" wrapText="1"/>
    </xf>
    <xf numFmtId="0" fontId="50" fillId="5" borderId="49" xfId="0" applyFont="1" applyFill="1" applyBorder="1" applyAlignment="1">
      <alignment horizontal="center" vertical="center" textRotation="90"/>
    </xf>
    <xf numFmtId="0" fontId="50" fillId="5" borderId="28" xfId="0" applyFont="1" applyFill="1" applyBorder="1" applyAlignment="1">
      <alignment horizontal="center" vertical="center" textRotation="90"/>
    </xf>
    <xf numFmtId="0" fontId="50" fillId="5" borderId="29" xfId="0" applyFont="1" applyFill="1" applyBorder="1" applyAlignment="1">
      <alignment horizontal="center" vertical="center" textRotation="90"/>
    </xf>
    <xf numFmtId="0" fontId="56" fillId="3" borderId="4" xfId="0" applyFont="1" applyFill="1" applyBorder="1" applyAlignment="1">
      <alignment horizontal="left"/>
    </xf>
    <xf numFmtId="0" fontId="42" fillId="3" borderId="36" xfId="7" applyFont="1" applyFill="1" applyBorder="1" applyAlignment="1" applyProtection="1">
      <alignment horizontal="center" vertical="center"/>
      <protection locked="0"/>
    </xf>
    <xf numFmtId="0" fontId="42" fillId="3" borderId="37" xfId="7" applyFont="1" applyFill="1" applyBorder="1" applyAlignment="1" applyProtection="1">
      <alignment horizontal="center" vertical="center"/>
      <protection locked="0"/>
    </xf>
    <xf numFmtId="0" fontId="42" fillId="3" borderId="4" xfId="7" applyFont="1" applyFill="1" applyBorder="1" applyAlignment="1">
      <alignment horizontal="left" vertical="center"/>
    </xf>
    <xf numFmtId="0" fontId="42" fillId="3" borderId="35" xfId="7" applyFont="1" applyFill="1" applyBorder="1" applyAlignment="1">
      <alignment vertical="center"/>
    </xf>
    <xf numFmtId="0" fontId="42" fillId="3" borderId="36" xfId="7" applyFont="1" applyFill="1" applyBorder="1" applyAlignment="1">
      <alignment vertical="center"/>
    </xf>
    <xf numFmtId="0" fontId="42" fillId="3" borderId="37" xfId="7" applyFont="1" applyFill="1" applyBorder="1" applyAlignment="1">
      <alignment vertical="center"/>
    </xf>
    <xf numFmtId="0" fontId="37" fillId="3" borderId="35" xfId="7" applyFont="1" applyFill="1" applyBorder="1" applyAlignment="1">
      <alignment vertical="center"/>
    </xf>
    <xf numFmtId="0" fontId="37" fillId="3" borderId="36" xfId="7" applyFont="1" applyFill="1" applyBorder="1" applyAlignment="1">
      <alignment vertical="center"/>
    </xf>
    <xf numFmtId="0" fontId="37" fillId="3" borderId="37" xfId="7" applyFont="1" applyFill="1" applyBorder="1" applyAlignment="1">
      <alignment vertical="center"/>
    </xf>
    <xf numFmtId="0" fontId="42" fillId="3" borderId="35" xfId="7" applyFont="1" applyFill="1" applyBorder="1" applyAlignment="1">
      <alignment horizontal="left" vertical="center"/>
    </xf>
    <xf numFmtId="0" fontId="42" fillId="3" borderId="36" xfId="7" applyFont="1" applyFill="1" applyBorder="1" applyAlignment="1">
      <alignment horizontal="left" vertical="center"/>
    </xf>
    <xf numFmtId="0" fontId="42" fillId="3" borderId="37" xfId="7" applyFont="1" applyFill="1" applyBorder="1" applyAlignment="1">
      <alignment horizontal="left" vertical="center"/>
    </xf>
    <xf numFmtId="0" fontId="27" fillId="3" borderId="0" xfId="6" applyFont="1" applyFill="1" applyAlignment="1">
      <alignment horizontal="left" vertical="top"/>
    </xf>
    <xf numFmtId="0" fontId="33" fillId="5" borderId="14" xfId="7" applyFont="1" applyFill="1" applyBorder="1" applyAlignment="1">
      <alignment horizontal="center" vertical="center"/>
    </xf>
    <xf numFmtId="0" fontId="33" fillId="5" borderId="50" xfId="7" applyFont="1" applyFill="1" applyBorder="1" applyAlignment="1">
      <alignment horizontal="center" vertical="center"/>
    </xf>
    <xf numFmtId="0" fontId="33" fillId="5" borderId="49" xfId="7" applyFont="1" applyFill="1" applyBorder="1" applyAlignment="1">
      <alignment horizontal="center" vertical="center" textRotation="90"/>
    </xf>
    <xf numFmtId="0" fontId="33" fillId="5" borderId="51" xfId="7" applyFont="1" applyFill="1" applyBorder="1" applyAlignment="1">
      <alignment horizontal="center" vertical="center" textRotation="90"/>
    </xf>
    <xf numFmtId="0" fontId="33" fillId="5" borderId="28" xfId="7" applyFont="1" applyFill="1" applyBorder="1" applyAlignment="1">
      <alignment horizontal="center" vertical="center" textRotation="90"/>
    </xf>
    <xf numFmtId="0" fontId="33" fillId="5" borderId="3" xfId="7" applyFont="1" applyFill="1" applyBorder="1" applyAlignment="1">
      <alignment horizontal="center" vertical="center" textRotation="90"/>
    </xf>
    <xf numFmtId="0" fontId="33" fillId="5" borderId="29" xfId="7" applyFont="1" applyFill="1" applyBorder="1" applyAlignment="1">
      <alignment horizontal="center" vertical="center" textRotation="90"/>
    </xf>
    <xf numFmtId="0" fontId="33" fillId="5" borderId="4" xfId="7" applyFont="1" applyFill="1" applyBorder="1" applyAlignment="1">
      <alignment horizontal="center" vertical="center" textRotation="90"/>
    </xf>
    <xf numFmtId="0" fontId="42" fillId="3" borderId="3" xfId="7" applyFont="1" applyFill="1" applyBorder="1" applyAlignment="1">
      <alignment horizontal="left" vertical="center"/>
    </xf>
    <xf numFmtId="0" fontId="33" fillId="5" borderId="13" xfId="7" applyFont="1" applyFill="1" applyBorder="1" applyAlignment="1">
      <alignment horizontal="center" vertical="center"/>
    </xf>
    <xf numFmtId="0" fontId="27" fillId="0" borderId="0" xfId="10" applyFont="1" applyAlignment="1" applyProtection="1">
      <alignment horizontal="center"/>
      <protection hidden="1"/>
    </xf>
    <xf numFmtId="0" fontId="33" fillId="5" borderId="19" xfId="7" applyFont="1" applyFill="1" applyBorder="1" applyAlignment="1">
      <alignment horizontal="center" vertical="center"/>
    </xf>
    <xf numFmtId="0" fontId="33" fillId="5" borderId="52" xfId="7" applyFont="1" applyFill="1" applyBorder="1" applyAlignment="1">
      <alignment horizontal="center" vertical="center"/>
    </xf>
    <xf numFmtId="0" fontId="37" fillId="3" borderId="45" xfId="7" applyFont="1" applyFill="1" applyBorder="1" applyAlignment="1">
      <alignment horizontal="left" vertical="center"/>
    </xf>
    <xf numFmtId="0" fontId="37" fillId="3" borderId="46" xfId="7" applyFont="1" applyFill="1" applyBorder="1" applyAlignment="1">
      <alignment horizontal="left" vertical="center"/>
    </xf>
    <xf numFmtId="0" fontId="37" fillId="3" borderId="47" xfId="7" applyFont="1" applyFill="1" applyBorder="1" applyAlignment="1">
      <alignment horizontal="left" vertical="center"/>
    </xf>
    <xf numFmtId="0" fontId="67" fillId="3" borderId="22" xfId="7" applyFont="1" applyFill="1" applyBorder="1"/>
    <xf numFmtId="0" fontId="29" fillId="3" borderId="0" xfId="10" applyFont="1" applyFill="1" applyAlignment="1" applyProtection="1">
      <alignment horizontal="left"/>
      <protection hidden="1"/>
    </xf>
    <xf numFmtId="0" fontId="30" fillId="3" borderId="0" xfId="10" applyFont="1" applyFill="1" applyAlignment="1" applyProtection="1">
      <alignment horizontal="center"/>
      <protection hidden="1"/>
    </xf>
    <xf numFmtId="0" fontId="31" fillId="3" borderId="0" xfId="10" applyFont="1" applyFill="1" applyAlignment="1" applyProtection="1">
      <alignment horizontal="center"/>
      <protection hidden="1"/>
    </xf>
    <xf numFmtId="0" fontId="9" fillId="3" borderId="3" xfId="9" applyFont="1" applyFill="1" applyBorder="1" applyAlignment="1" applyProtection="1">
      <alignment vertical="center"/>
      <protection hidden="1"/>
    </xf>
    <xf numFmtId="0" fontId="49" fillId="3" borderId="3" xfId="0" applyFont="1" applyFill="1" applyBorder="1" applyAlignment="1">
      <alignment horizontal="left" vertical="center"/>
    </xf>
    <xf numFmtId="43" fontId="59" fillId="3" borderId="3" xfId="4" applyNumberFormat="1" applyFont="1" applyFill="1" applyBorder="1" applyAlignment="1">
      <alignment vertical="center"/>
    </xf>
    <xf numFmtId="43" fontId="59" fillId="3" borderId="3" xfId="1" applyFont="1" applyFill="1" applyBorder="1" applyAlignment="1" applyProtection="1">
      <alignment vertical="center"/>
      <protection locked="0"/>
    </xf>
    <xf numFmtId="43" fontId="7" fillId="3" borderId="3" xfId="2" applyFont="1" applyFill="1" applyBorder="1" applyAlignment="1" applyProtection="1">
      <alignment horizontal="right" vertical="center"/>
      <protection locked="0"/>
    </xf>
    <xf numFmtId="0" fontId="6" fillId="3" borderId="3" xfId="9" applyFont="1" applyFill="1" applyBorder="1" applyAlignment="1" applyProtection="1">
      <alignment vertical="center"/>
      <protection hidden="1"/>
    </xf>
    <xf numFmtId="0" fontId="3" fillId="3" borderId="3" xfId="9" applyFont="1" applyFill="1" applyBorder="1" applyAlignment="1" applyProtection="1">
      <alignment vertical="center"/>
      <protection hidden="1"/>
    </xf>
    <xf numFmtId="43" fontId="7" fillId="3" borderId="3" xfId="2" applyFont="1" applyFill="1" applyBorder="1" applyAlignment="1">
      <alignment horizontal="right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3" fontId="59" fillId="3" borderId="3" xfId="0" applyNumberFormat="1" applyFont="1" applyFill="1" applyBorder="1" applyAlignment="1">
      <alignment vertical="center"/>
    </xf>
    <xf numFmtId="0" fontId="59" fillId="3" borderId="3" xfId="0" applyFont="1" applyFill="1" applyBorder="1" applyAlignment="1">
      <alignment vertical="center"/>
    </xf>
    <xf numFmtId="43" fontId="59" fillId="3" borderId="3" xfId="0" applyNumberFormat="1" applyFont="1" applyFill="1" applyBorder="1" applyAlignment="1" applyProtection="1">
      <alignment vertical="center"/>
      <protection locked="0"/>
    </xf>
    <xf numFmtId="0" fontId="59" fillId="3" borderId="3" xfId="0" applyFont="1" applyFill="1" applyBorder="1" applyAlignment="1" applyProtection="1">
      <alignment vertical="center"/>
      <protection locked="0"/>
    </xf>
    <xf numFmtId="43" fontId="59" fillId="0" borderId="2" xfId="1" applyFont="1" applyBorder="1" applyAlignment="1">
      <alignment vertical="center"/>
    </xf>
    <xf numFmtId="43" fontId="59" fillId="0" borderId="5" xfId="1" applyFont="1" applyBorder="1" applyAlignment="1">
      <alignment vertical="center"/>
    </xf>
    <xf numFmtId="0" fontId="57" fillId="3" borderId="35" xfId="0" applyFont="1" applyFill="1" applyBorder="1" applyAlignment="1" applyProtection="1">
      <alignment horizontal="center" vertical="center"/>
      <protection locked="0"/>
    </xf>
    <xf numFmtId="0" fontId="57" fillId="3" borderId="36" xfId="0" applyFont="1" applyFill="1" applyBorder="1" applyAlignment="1" applyProtection="1">
      <alignment horizontal="center" vertical="center"/>
      <protection locked="0"/>
    </xf>
    <xf numFmtId="0" fontId="57" fillId="3" borderId="37" xfId="0" applyFont="1" applyFill="1" applyBorder="1" applyAlignment="1" applyProtection="1">
      <alignment horizontal="center" vertical="center"/>
      <protection locked="0"/>
    </xf>
    <xf numFmtId="0" fontId="5" fillId="5" borderId="49" xfId="9" applyFont="1" applyFill="1" applyBorder="1" applyAlignment="1" applyProtection="1">
      <alignment horizontal="center" vertical="center" textRotation="90" wrapText="1"/>
      <protection hidden="1"/>
    </xf>
    <xf numFmtId="0" fontId="5" fillId="5" borderId="51" xfId="9" applyFont="1" applyFill="1" applyBorder="1" applyAlignment="1" applyProtection="1">
      <alignment horizontal="center" vertical="center" textRotation="90" wrapText="1"/>
      <protection hidden="1"/>
    </xf>
    <xf numFmtId="0" fontId="5" fillId="5" borderId="28" xfId="9" applyFont="1" applyFill="1" applyBorder="1" applyAlignment="1" applyProtection="1">
      <alignment horizontal="center" vertical="center" textRotation="90" wrapText="1"/>
      <protection hidden="1"/>
    </xf>
    <xf numFmtId="0" fontId="5" fillId="5" borderId="3" xfId="9" applyFont="1" applyFill="1" applyBorder="1" applyAlignment="1" applyProtection="1">
      <alignment horizontal="center" vertical="center" textRotation="90" wrapText="1"/>
      <protection hidden="1"/>
    </xf>
    <xf numFmtId="0" fontId="5" fillId="5" borderId="53" xfId="9" applyFont="1" applyFill="1" applyBorder="1" applyAlignment="1" applyProtection="1">
      <alignment horizontal="center" vertical="center" textRotation="90" wrapText="1"/>
      <protection hidden="1"/>
    </xf>
    <xf numFmtId="0" fontId="5" fillId="5" borderId="54" xfId="9" applyFont="1" applyFill="1" applyBorder="1" applyAlignment="1" applyProtection="1">
      <alignment horizontal="center" vertical="center" textRotation="90" wrapText="1"/>
      <protection hidden="1"/>
    </xf>
    <xf numFmtId="0" fontId="5" fillId="5" borderId="29" xfId="9" applyFont="1" applyFill="1" applyBorder="1" applyAlignment="1" applyProtection="1">
      <alignment horizontal="center" vertical="center" textRotation="90" wrapText="1"/>
      <protection hidden="1"/>
    </xf>
    <xf numFmtId="0" fontId="5" fillId="5" borderId="4" xfId="9" applyFont="1" applyFill="1" applyBorder="1" applyAlignment="1" applyProtection="1">
      <alignment horizontal="center" vertical="center" textRotation="90" wrapText="1"/>
      <protection hidden="1"/>
    </xf>
    <xf numFmtId="0" fontId="57" fillId="3" borderId="55" xfId="0" applyFont="1" applyFill="1" applyBorder="1" applyAlignment="1" applyProtection="1">
      <alignment horizontal="center" vertical="center"/>
      <protection locked="0"/>
    </xf>
    <xf numFmtId="0" fontId="57" fillId="3" borderId="56" xfId="0" applyFont="1" applyFill="1" applyBorder="1" applyAlignment="1" applyProtection="1">
      <alignment horizontal="center" vertical="center"/>
      <protection locked="0"/>
    </xf>
    <xf numFmtId="0" fontId="57" fillId="3" borderId="57" xfId="0" applyFont="1" applyFill="1" applyBorder="1" applyAlignment="1" applyProtection="1">
      <alignment horizontal="center" vertical="center"/>
      <protection locked="0"/>
    </xf>
    <xf numFmtId="0" fontId="48" fillId="3" borderId="0" xfId="0" applyFont="1" applyFill="1" applyAlignment="1">
      <alignment horizontal="left"/>
    </xf>
    <xf numFmtId="0" fontId="48" fillId="5" borderId="58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7" fillId="3" borderId="60" xfId="0" applyFont="1" applyFill="1" applyBorder="1" applyAlignment="1">
      <alignment horizontal="center" vertical="center"/>
    </xf>
    <xf numFmtId="0" fontId="47" fillId="3" borderId="34" xfId="0" applyFont="1" applyFill="1" applyBorder="1" applyAlignment="1">
      <alignment horizontal="center" vertical="center"/>
    </xf>
    <xf numFmtId="0" fontId="47" fillId="3" borderId="61" xfId="0" applyFont="1" applyFill="1" applyBorder="1" applyAlignment="1">
      <alignment horizontal="center" vertical="center"/>
    </xf>
    <xf numFmtId="0" fontId="50" fillId="3" borderId="0" xfId="0" applyFont="1" applyFill="1" applyAlignment="1">
      <alignment horizontal="left" vertical="center" indent="2"/>
    </xf>
    <xf numFmtId="0" fontId="51" fillId="3" borderId="21" xfId="0" applyFont="1" applyFill="1" applyBorder="1" applyAlignment="1">
      <alignment horizontal="left" vertical="center" indent="2"/>
    </xf>
    <xf numFmtId="0" fontId="0" fillId="3" borderId="1" xfId="0" applyFill="1" applyBorder="1" applyAlignment="1">
      <alignment horizontal="right" vertical="center"/>
    </xf>
    <xf numFmtId="0" fontId="52" fillId="3" borderId="1" xfId="0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27" fillId="2" borderId="3" xfId="9" applyFont="1" applyFill="1" applyBorder="1" applyAlignment="1" applyProtection="1">
      <alignment horizontal="center" vertical="center"/>
      <protection locked="0"/>
    </xf>
    <xf numFmtId="0" fontId="68" fillId="3" borderId="0" xfId="0" applyFont="1" applyFill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43" fontId="59" fillId="3" borderId="3" xfId="0" applyNumberFormat="1" applyFont="1" applyFill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3" borderId="6" xfId="0" applyFont="1" applyFill="1" applyBorder="1" applyAlignment="1">
      <alignment horizontal="center" vertical="center"/>
    </xf>
    <xf numFmtId="43" fontId="59" fillId="0" borderId="3" xfId="1" applyFont="1" applyBorder="1" applyAlignment="1">
      <alignment vertical="center"/>
    </xf>
    <xf numFmtId="43" fontId="59" fillId="0" borderId="6" xfId="1" applyFont="1" applyBorder="1" applyAlignment="1">
      <alignment vertical="center"/>
    </xf>
    <xf numFmtId="43" fontId="7" fillId="3" borderId="2" xfId="2" applyFont="1" applyFill="1" applyBorder="1" applyAlignment="1">
      <alignment vertical="center"/>
    </xf>
    <xf numFmtId="43" fontId="7" fillId="3" borderId="5" xfId="2" applyFont="1" applyFill="1" applyBorder="1" applyAlignment="1">
      <alignment vertical="center"/>
    </xf>
    <xf numFmtId="43" fontId="59" fillId="0" borderId="4" xfId="0" applyNumberFormat="1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59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47" fillId="0" borderId="16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8" fillId="3" borderId="2" xfId="9" applyFont="1" applyFill="1" applyBorder="1" applyAlignment="1" applyProtection="1">
      <alignment vertical="center"/>
      <protection hidden="1"/>
    </xf>
    <xf numFmtId="0" fontId="8" fillId="3" borderId="4" xfId="9" applyFont="1" applyFill="1" applyBorder="1" applyAlignment="1" applyProtection="1">
      <alignment vertical="center"/>
      <protection hidden="1"/>
    </xf>
    <xf numFmtId="0" fontId="40" fillId="2" borderId="62" xfId="7" applyFont="1" applyFill="1" applyBorder="1" applyAlignment="1">
      <alignment horizontal="center" vertical="top"/>
    </xf>
    <xf numFmtId="0" fontId="40" fillId="2" borderId="63" xfId="7" applyFont="1" applyFill="1" applyBorder="1" applyAlignment="1">
      <alignment horizontal="center" vertical="top"/>
    </xf>
    <xf numFmtId="0" fontId="9" fillId="3" borderId="0" xfId="7" applyFont="1" applyFill="1" applyAlignment="1">
      <alignment horizontal="center" vertical="center"/>
    </xf>
    <xf numFmtId="0" fontId="9" fillId="3" borderId="64" xfId="7" applyFont="1" applyFill="1" applyBorder="1" applyAlignment="1">
      <alignment horizontal="center" vertical="center"/>
    </xf>
    <xf numFmtId="0" fontId="40" fillId="2" borderId="27" xfId="7" applyFont="1" applyFill="1" applyBorder="1" applyAlignment="1">
      <alignment horizontal="justify" vertical="center" wrapText="1"/>
    </xf>
    <xf numFmtId="0" fontId="40" fillId="2" borderId="0" xfId="7" applyFont="1" applyFill="1" applyAlignment="1">
      <alignment horizontal="justify" vertical="center" wrapText="1"/>
    </xf>
    <xf numFmtId="0" fontId="6" fillId="3" borderId="35" xfId="7" applyFont="1" applyFill="1" applyBorder="1" applyAlignment="1" applyProtection="1">
      <alignment horizontal="center"/>
      <protection locked="0"/>
    </xf>
    <xf numFmtId="0" fontId="6" fillId="3" borderId="36" xfId="7" applyFont="1" applyFill="1" applyBorder="1" applyAlignment="1" applyProtection="1">
      <alignment horizontal="center"/>
      <protection locked="0"/>
    </xf>
    <xf numFmtId="0" fontId="6" fillId="3" borderId="37" xfId="7" applyFont="1" applyFill="1" applyBorder="1" applyAlignment="1" applyProtection="1">
      <alignment horizontal="center"/>
      <protection locked="0"/>
    </xf>
    <xf numFmtId="0" fontId="9" fillId="5" borderId="8" xfId="7" applyFont="1" applyFill="1" applyBorder="1" applyAlignment="1">
      <alignment horizontal="center" vertical="center" textRotation="90" wrapText="1"/>
    </xf>
    <xf numFmtId="0" fontId="9" fillId="5" borderId="0" xfId="7" applyFont="1" applyFill="1" applyAlignment="1">
      <alignment horizontal="center" vertical="center" textRotation="90" wrapText="1"/>
    </xf>
    <xf numFmtId="0" fontId="9" fillId="5" borderId="64" xfId="7" applyFont="1" applyFill="1" applyBorder="1" applyAlignment="1">
      <alignment horizontal="center" vertical="center" textRotation="90" wrapText="1"/>
    </xf>
    <xf numFmtId="0" fontId="9" fillId="5" borderId="9" xfId="7" applyFont="1" applyFill="1" applyBorder="1" applyAlignment="1">
      <alignment horizontal="center" vertical="center" textRotation="90" wrapText="1"/>
    </xf>
    <xf numFmtId="0" fontId="9" fillId="5" borderId="1" xfId="7" applyFont="1" applyFill="1" applyBorder="1" applyAlignment="1">
      <alignment horizontal="center" vertical="center" textRotation="90" wrapText="1"/>
    </xf>
    <xf numFmtId="0" fontId="9" fillId="5" borderId="65" xfId="7" applyFont="1" applyFill="1" applyBorder="1" applyAlignment="1">
      <alignment horizontal="center" vertical="center" textRotation="90" wrapText="1"/>
    </xf>
    <xf numFmtId="0" fontId="40" fillId="3" borderId="21" xfId="7" applyFont="1" applyFill="1" applyBorder="1" applyAlignment="1" applyProtection="1">
      <alignment horizontal="center"/>
      <protection locked="0"/>
    </xf>
    <xf numFmtId="43" fontId="59" fillId="3" borderId="4" xfId="1" applyFont="1" applyFill="1" applyBorder="1" applyAlignment="1">
      <alignment vertical="center"/>
    </xf>
    <xf numFmtId="43" fontId="59" fillId="3" borderId="7" xfId="1" applyFont="1" applyFill="1" applyBorder="1" applyAlignment="1">
      <alignment vertical="center"/>
    </xf>
    <xf numFmtId="0" fontId="56" fillId="3" borderId="3" xfId="0" applyFont="1" applyFill="1" applyBorder="1" applyAlignment="1">
      <alignment vertical="center"/>
    </xf>
    <xf numFmtId="0" fontId="33" fillId="5" borderId="58" xfId="7" applyFont="1" applyFill="1" applyBorder="1" applyAlignment="1">
      <alignment horizontal="center" vertical="center"/>
    </xf>
    <xf numFmtId="0" fontId="33" fillId="5" borderId="22" xfId="7" applyFont="1" applyFill="1" applyBorder="1" applyAlignment="1">
      <alignment horizontal="center" vertical="center"/>
    </xf>
    <xf numFmtId="0" fontId="33" fillId="5" borderId="59" xfId="7" applyFont="1" applyFill="1" applyBorder="1" applyAlignment="1">
      <alignment horizontal="center" vertical="center"/>
    </xf>
    <xf numFmtId="0" fontId="40" fillId="3" borderId="66" xfId="7" applyFont="1" applyFill="1" applyBorder="1" applyAlignment="1" applyProtection="1">
      <alignment horizontal="center"/>
      <protection locked="0"/>
    </xf>
    <xf numFmtId="14" fontId="40" fillId="2" borderId="8" xfId="7" applyNumberFormat="1" applyFont="1" applyFill="1" applyBorder="1" applyAlignment="1">
      <alignment horizontal="center"/>
    </xf>
    <xf numFmtId="14" fontId="40" fillId="2" borderId="0" xfId="7" applyNumberFormat="1" applyFont="1" applyFill="1" applyAlignment="1">
      <alignment horizontal="center"/>
    </xf>
    <xf numFmtId="0" fontId="40" fillId="3" borderId="0" xfId="7" applyFont="1" applyFill="1" applyAlignment="1">
      <alignment horizontal="center"/>
    </xf>
    <xf numFmtId="0" fontId="40" fillId="3" borderId="38" xfId="7" applyFont="1" applyFill="1" applyBorder="1" applyAlignment="1">
      <alignment horizontal="center"/>
    </xf>
    <xf numFmtId="0" fontId="40" fillId="2" borderId="8" xfId="7" applyFont="1" applyFill="1" applyBorder="1" applyAlignment="1">
      <alignment horizontal="center"/>
    </xf>
    <xf numFmtId="0" fontId="8" fillId="5" borderId="67" xfId="7" applyFont="1" applyFill="1" applyBorder="1" applyAlignment="1">
      <alignment horizontal="center" vertical="center"/>
    </xf>
    <xf numFmtId="0" fontId="8" fillId="5" borderId="22" xfId="7" applyFont="1" applyFill="1" applyBorder="1" applyAlignment="1">
      <alignment horizontal="center" vertical="center"/>
    </xf>
    <xf numFmtId="0" fontId="8" fillId="5" borderId="23" xfId="7" applyFont="1" applyFill="1" applyBorder="1" applyAlignment="1">
      <alignment horizontal="center" vertical="center"/>
    </xf>
    <xf numFmtId="0" fontId="3" fillId="2" borderId="68" xfId="7" applyFill="1" applyBorder="1" applyAlignment="1">
      <alignment horizontal="center" vertical="center"/>
    </xf>
    <xf numFmtId="0" fontId="3" fillId="2" borderId="69" xfId="7" applyFill="1" applyBorder="1" applyAlignment="1">
      <alignment horizontal="center" vertical="center"/>
    </xf>
    <xf numFmtId="0" fontId="3" fillId="2" borderId="70" xfId="7" applyFill="1" applyBorder="1" applyAlignment="1">
      <alignment horizontal="center" vertical="center"/>
    </xf>
    <xf numFmtId="0" fontId="3" fillId="2" borderId="71" xfId="7" applyFill="1" applyBorder="1" applyAlignment="1">
      <alignment horizontal="center" vertical="center"/>
    </xf>
    <xf numFmtId="0" fontId="40" fillId="2" borderId="8" xfId="7" applyFont="1" applyFill="1" applyBorder="1" applyAlignment="1">
      <alignment horizontal="justify" vertical="top" wrapText="1"/>
    </xf>
    <xf numFmtId="0" fontId="40" fillId="2" borderId="0" xfId="7" applyFont="1" applyFill="1" applyAlignment="1">
      <alignment horizontal="justify" vertical="top" wrapText="1"/>
    </xf>
    <xf numFmtId="0" fontId="40" fillId="2" borderId="38" xfId="7" applyFont="1" applyFill="1" applyBorder="1" applyAlignment="1">
      <alignment horizontal="justify" vertical="top" wrapText="1"/>
    </xf>
    <xf numFmtId="0" fontId="8" fillId="5" borderId="72" xfId="7" applyFont="1" applyFill="1" applyBorder="1" applyAlignment="1">
      <alignment horizontal="center" vertical="center"/>
    </xf>
    <xf numFmtId="0" fontId="8" fillId="5" borderId="73" xfId="7" applyFont="1" applyFill="1" applyBorder="1" applyAlignment="1">
      <alignment horizontal="center" vertical="center"/>
    </xf>
    <xf numFmtId="0" fontId="8" fillId="5" borderId="74" xfId="7" applyFont="1" applyFill="1" applyBorder="1" applyAlignment="1">
      <alignment horizontal="center" vertical="center"/>
    </xf>
    <xf numFmtId="0" fontId="40" fillId="2" borderId="75" xfId="7" applyFont="1" applyFill="1" applyBorder="1" applyAlignment="1">
      <alignment horizontal="center" vertical="top"/>
    </xf>
    <xf numFmtId="14" fontId="40" fillId="2" borderId="76" xfId="7" applyNumberFormat="1" applyFont="1" applyFill="1" applyBorder="1" applyAlignment="1" applyProtection="1">
      <alignment horizontal="center"/>
      <protection locked="0"/>
    </xf>
    <xf numFmtId="14" fontId="40" fillId="2" borderId="21" xfId="7" applyNumberFormat="1" applyFont="1" applyFill="1" applyBorder="1" applyAlignment="1" applyProtection="1">
      <alignment horizontal="center"/>
      <protection locked="0"/>
    </xf>
    <xf numFmtId="0" fontId="8" fillId="5" borderId="77" xfId="7" applyFont="1" applyFill="1" applyBorder="1" applyAlignment="1">
      <alignment horizontal="center" vertical="center"/>
    </xf>
    <xf numFmtId="0" fontId="55" fillId="3" borderId="35" xfId="0" applyFont="1" applyFill="1" applyBorder="1" applyAlignment="1">
      <alignment vertical="center"/>
    </xf>
    <xf numFmtId="0" fontId="55" fillId="3" borderId="36" xfId="0" applyFont="1" applyFill="1" applyBorder="1" applyAlignment="1">
      <alignment vertical="center"/>
    </xf>
    <xf numFmtId="0" fontId="55" fillId="3" borderId="37" xfId="0" applyFont="1" applyFill="1" applyBorder="1" applyAlignment="1">
      <alignment vertical="center"/>
    </xf>
    <xf numFmtId="0" fontId="56" fillId="3" borderId="2" xfId="0" applyFont="1" applyFill="1" applyBorder="1" applyAlignment="1">
      <alignment vertical="center"/>
    </xf>
    <xf numFmtId="0" fontId="48" fillId="5" borderId="19" xfId="0" applyFont="1" applyFill="1" applyBorder="1" applyAlignment="1">
      <alignment horizontal="center" vertical="center"/>
    </xf>
    <xf numFmtId="0" fontId="48" fillId="5" borderId="52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78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79" xfId="0" applyFill="1" applyBorder="1" applyAlignment="1">
      <alignment horizontal="center" vertical="center"/>
    </xf>
    <xf numFmtId="0" fontId="52" fillId="3" borderId="14" xfId="0" applyFont="1" applyFill="1" applyBorder="1"/>
    <xf numFmtId="0" fontId="48" fillId="3" borderId="36" xfId="0" applyFont="1" applyFill="1" applyBorder="1" applyAlignment="1">
      <alignment horizontal="left"/>
    </xf>
    <xf numFmtId="0" fontId="53" fillId="5" borderId="8" xfId="0" applyFont="1" applyFill="1" applyBorder="1" applyAlignment="1">
      <alignment horizontal="center" vertical="center" textRotation="90" wrapText="1"/>
    </xf>
    <xf numFmtId="0" fontId="53" fillId="5" borderId="0" xfId="0" applyFont="1" applyFill="1" applyAlignment="1">
      <alignment horizontal="center" vertical="center" textRotation="90" wrapText="1"/>
    </xf>
    <xf numFmtId="0" fontId="53" fillId="5" borderId="64" xfId="0" applyFont="1" applyFill="1" applyBorder="1" applyAlignment="1">
      <alignment horizontal="center" vertical="center" textRotation="90" wrapText="1"/>
    </xf>
    <xf numFmtId="0" fontId="53" fillId="5" borderId="9" xfId="0" applyFont="1" applyFill="1" applyBorder="1" applyAlignment="1">
      <alignment horizontal="center" vertical="center" textRotation="90" wrapText="1"/>
    </xf>
    <xf numFmtId="0" fontId="53" fillId="5" borderId="1" xfId="0" applyFont="1" applyFill="1" applyBorder="1" applyAlignment="1">
      <alignment horizontal="center" vertical="center" textRotation="90" wrapText="1"/>
    </xf>
    <xf numFmtId="0" fontId="53" fillId="5" borderId="65" xfId="0" applyFont="1" applyFill="1" applyBorder="1" applyAlignment="1">
      <alignment horizontal="center" vertical="center" textRotation="90" wrapText="1"/>
    </xf>
    <xf numFmtId="0" fontId="50" fillId="3" borderId="35" xfId="0" applyFont="1" applyFill="1" applyBorder="1" applyAlignment="1" applyProtection="1">
      <alignment horizontal="center" vertical="center"/>
      <protection locked="0"/>
    </xf>
    <xf numFmtId="0" fontId="50" fillId="3" borderId="36" xfId="0" applyFont="1" applyFill="1" applyBorder="1" applyAlignment="1" applyProtection="1">
      <alignment horizontal="center" vertical="center"/>
      <protection locked="0"/>
    </xf>
    <xf numFmtId="0" fontId="50" fillId="3" borderId="37" xfId="0" applyFont="1" applyFill="1" applyBorder="1" applyAlignment="1" applyProtection="1">
      <alignment horizontal="center" vertical="center"/>
      <protection locked="0"/>
    </xf>
    <xf numFmtId="43" fontId="7" fillId="3" borderId="3" xfId="2" applyFont="1" applyFill="1" applyBorder="1" applyAlignment="1">
      <alignment vertical="center"/>
    </xf>
    <xf numFmtId="43" fontId="7" fillId="3" borderId="6" xfId="2" applyFont="1" applyFill="1" applyBorder="1" applyAlignment="1">
      <alignment vertical="center"/>
    </xf>
    <xf numFmtId="0" fontId="49" fillId="3" borderId="8" xfId="0" applyFont="1" applyFill="1" applyBorder="1" applyProtection="1">
      <protection hidden="1"/>
    </xf>
    <xf numFmtId="0" fontId="49" fillId="3" borderId="0" xfId="0" applyFont="1" applyFill="1" applyProtection="1">
      <protection hidden="1"/>
    </xf>
    <xf numFmtId="0" fontId="49" fillId="3" borderId="9" xfId="0" applyFont="1" applyFill="1" applyBorder="1" applyProtection="1">
      <protection hidden="1"/>
    </xf>
    <xf numFmtId="0" fontId="49" fillId="3" borderId="1" xfId="0" applyFont="1" applyFill="1" applyBorder="1" applyProtection="1">
      <protection hidden="1"/>
    </xf>
    <xf numFmtId="0" fontId="62" fillId="3" borderId="8" xfId="0" applyFont="1" applyFill="1" applyBorder="1" applyProtection="1">
      <protection hidden="1"/>
    </xf>
    <xf numFmtId="0" fontId="62" fillId="3" borderId="0" xfId="0" applyFont="1" applyFill="1" applyProtection="1">
      <protection hidden="1"/>
    </xf>
    <xf numFmtId="0" fontId="62" fillId="3" borderId="8" xfId="0" applyFont="1" applyFill="1" applyBorder="1" applyAlignment="1" applyProtection="1">
      <alignment horizontal="right"/>
      <protection hidden="1"/>
    </xf>
    <xf numFmtId="0" fontId="62" fillId="3" borderId="0" xfId="0" applyFont="1" applyFill="1" applyAlignment="1" applyProtection="1">
      <alignment horizontal="right"/>
      <protection hidden="1"/>
    </xf>
    <xf numFmtId="0" fontId="48" fillId="5" borderId="58" xfId="0" applyFont="1" applyFill="1" applyBorder="1" applyAlignment="1" applyProtection="1">
      <alignment horizontal="center"/>
      <protection hidden="1"/>
    </xf>
    <xf numFmtId="0" fontId="48" fillId="5" borderId="22" xfId="0" applyFont="1" applyFill="1" applyBorder="1" applyAlignment="1" applyProtection="1">
      <alignment horizontal="center"/>
      <protection hidden="1"/>
    </xf>
    <xf numFmtId="0" fontId="48" fillId="5" borderId="23" xfId="0" applyFont="1" applyFill="1" applyBorder="1" applyAlignment="1" applyProtection="1">
      <alignment horizontal="center"/>
      <protection hidden="1"/>
    </xf>
    <xf numFmtId="0" fontId="63" fillId="6" borderId="8" xfId="0" applyFont="1" applyFill="1" applyBorder="1" applyProtection="1">
      <protection hidden="1"/>
    </xf>
    <xf numFmtId="0" fontId="63" fillId="6" borderId="0" xfId="0" applyFont="1" applyFill="1" applyProtection="1">
      <protection hidden="1"/>
    </xf>
    <xf numFmtId="0" fontId="69" fillId="3" borderId="0" xfId="0" applyFont="1" applyFill="1" applyProtection="1">
      <protection hidden="1"/>
    </xf>
    <xf numFmtId="0" fontId="62" fillId="3" borderId="0" xfId="0" applyFont="1" applyFill="1" applyAlignment="1" applyProtection="1">
      <alignment vertical="center"/>
      <protection hidden="1"/>
    </xf>
    <xf numFmtId="0" fontId="61" fillId="3" borderId="0" xfId="0" applyFont="1" applyFill="1" applyAlignment="1" applyProtection="1">
      <alignment horizontal="center"/>
      <protection hidden="1"/>
    </xf>
  </cellXfs>
  <cellStyles count="11">
    <cellStyle name="Comma 2" xfId="2" xr:uid="{A9181A02-64FF-4451-BE33-9859A186D7BD}"/>
    <cellStyle name="Comma 3" xfId="3" xr:uid="{0EE9FC6D-6756-49CF-9FA1-EE0BEC95405A}"/>
    <cellStyle name="Millares" xfId="1" builtinId="3"/>
    <cellStyle name="Millares_IR-2 BACKUP" xfId="5" xr:uid="{A0BC4486-30F1-44DC-BDBE-37FA45405AEC}"/>
    <cellStyle name="Moneda" xfId="4" builtinId="4"/>
    <cellStyle name="Normal" xfId="0" builtinId="0"/>
    <cellStyle name="Normal 2" xfId="6" xr:uid="{9E085889-AC62-4260-B2E2-A07F0D1DA98D}"/>
    <cellStyle name="Normal 2 2" xfId="7" xr:uid="{014DB8E1-7165-49DD-93F6-A8BD404E3134}"/>
    <cellStyle name="Normal_AnexoD" xfId="8" xr:uid="{902B5B93-1AE2-4090-9C70-FFB16CD82004}"/>
    <cellStyle name="Normal_IR-2 BACKUP" xfId="9" xr:uid="{A253662B-1830-4590-BEA5-684FB0813690}"/>
    <cellStyle name="Normal_IR2COM~1" xfId="10" xr:uid="{EFDF009B-EDE7-4DB0-99A1-CD330C737011}"/>
  </cellStyles>
  <dxfs count="5">
    <dxf>
      <font>
        <b val="0"/>
        <i val="0"/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1</xdr:row>
      <xdr:rowOff>69850</xdr:rowOff>
    </xdr:from>
    <xdr:to>
      <xdr:col>3</xdr:col>
      <xdr:colOff>476250</xdr:colOff>
      <xdr:row>6</xdr:row>
      <xdr:rowOff>19050</xdr:rowOff>
    </xdr:to>
    <xdr:pic>
      <xdr:nvPicPr>
        <xdr:cNvPr id="1260" name="Picture 1">
          <a:extLst>
            <a:ext uri="{FF2B5EF4-FFF2-40B4-BE49-F238E27FC236}">
              <a16:creationId xmlns:a16="http://schemas.microsoft.com/office/drawing/2014/main" id="{F199CE7E-EE42-7B4B-A1E7-B45EA60E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7" t="9427" r="54680" b="5731"/>
        <a:stretch>
          <a:fillRect/>
        </a:stretch>
      </xdr:blipFill>
      <xdr:spPr bwMode="auto">
        <a:xfrm>
          <a:off x="292100" y="133350"/>
          <a:ext cx="8636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31750</xdr:rowOff>
    </xdr:from>
    <xdr:to>
      <xdr:col>5</xdr:col>
      <xdr:colOff>12700</xdr:colOff>
      <xdr:row>5</xdr:row>
      <xdr:rowOff>285750</xdr:rowOff>
    </xdr:to>
    <xdr:pic>
      <xdr:nvPicPr>
        <xdr:cNvPr id="2281" name="Picture 1">
          <a:extLst>
            <a:ext uri="{FF2B5EF4-FFF2-40B4-BE49-F238E27FC236}">
              <a16:creationId xmlns:a16="http://schemas.microsoft.com/office/drawing/2014/main" id="{CE772FF6-DD20-5A0A-3EFB-C72657428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7" t="9427" r="54680" b="5731"/>
        <a:stretch>
          <a:fillRect/>
        </a:stretch>
      </xdr:blipFill>
      <xdr:spPr bwMode="auto">
        <a:xfrm>
          <a:off x="190500" y="95250"/>
          <a:ext cx="10668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6350</xdr:rowOff>
    </xdr:from>
    <xdr:to>
      <xdr:col>3</xdr:col>
      <xdr:colOff>184150</xdr:colOff>
      <xdr:row>5</xdr:row>
      <xdr:rowOff>107950</xdr:rowOff>
    </xdr:to>
    <xdr:pic>
      <xdr:nvPicPr>
        <xdr:cNvPr id="3633" name="Picture 1">
          <a:extLst>
            <a:ext uri="{FF2B5EF4-FFF2-40B4-BE49-F238E27FC236}">
              <a16:creationId xmlns:a16="http://schemas.microsoft.com/office/drawing/2014/main" id="{2D10FD4D-BF84-4A2E-B7FF-F00F3A06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139700"/>
          <a:ext cx="96520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685800</xdr:colOff>
      <xdr:row>13</xdr:row>
      <xdr:rowOff>0</xdr:rowOff>
    </xdr:from>
    <xdr:to>
      <xdr:col>11</xdr:col>
      <xdr:colOff>50800</xdr:colOff>
      <xdr:row>13</xdr:row>
      <xdr:rowOff>57150</xdr:rowOff>
    </xdr:to>
    <xdr:sp macro="" textlink="">
      <xdr:nvSpPr>
        <xdr:cNvPr id="3634" name="Text Box 7">
          <a:extLst>
            <a:ext uri="{FF2B5EF4-FFF2-40B4-BE49-F238E27FC236}">
              <a16:creationId xmlns:a16="http://schemas.microsoft.com/office/drawing/2014/main" id="{27F62130-F28B-92C2-9DFD-4F2DB5F45962}"/>
            </a:ext>
          </a:extLst>
        </xdr:cNvPr>
        <xdr:cNvSpPr txBox="1">
          <a:spLocks noChangeArrowheads="1"/>
        </xdr:cNvSpPr>
      </xdr:nvSpPr>
      <xdr:spPr bwMode="auto">
        <a:xfrm>
          <a:off x="9683750" y="2305050"/>
          <a:ext cx="50800" cy="5715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44450</xdr:colOff>
      <xdr:row>84</xdr:row>
      <xdr:rowOff>19050</xdr:rowOff>
    </xdr:from>
    <xdr:to>
      <xdr:col>2</xdr:col>
      <xdr:colOff>316727</xdr:colOff>
      <xdr:row>85</xdr:row>
      <xdr:rowOff>285689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08CBCA-A53F-426B-97C9-466805AD0CB1}"/>
            </a:ext>
          </a:extLst>
        </xdr:cNvPr>
        <xdr:cNvSpPr txBox="1"/>
      </xdr:nvSpPr>
      <xdr:spPr>
        <a:xfrm>
          <a:off x="180975" y="15182850"/>
          <a:ext cx="49530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100" b="1">
              <a:latin typeface="Arial" panose="020B0604020202020204" pitchFamily="34" charset="0"/>
              <a:cs typeface="Arial" panose="020B0604020202020204" pitchFamily="34" charset="0"/>
            </a:rPr>
            <a:t>X.</a:t>
          </a:r>
        </a:p>
      </xdr:txBody>
    </xdr:sp>
    <xdr:clientData/>
  </xdr:twoCellAnchor>
  <xdr:twoCellAnchor>
    <xdr:from>
      <xdr:col>1</xdr:col>
      <xdr:colOff>25400</xdr:colOff>
      <xdr:row>70</xdr:row>
      <xdr:rowOff>12700</xdr:rowOff>
    </xdr:from>
    <xdr:to>
      <xdr:col>2</xdr:col>
      <xdr:colOff>304067</xdr:colOff>
      <xdr:row>72</xdr:row>
      <xdr:rowOff>88900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3011AD-B340-4624-A99F-E275B24B6F77}"/>
            </a:ext>
          </a:extLst>
        </xdr:cNvPr>
        <xdr:cNvSpPr txBox="1"/>
      </xdr:nvSpPr>
      <xdr:spPr>
        <a:xfrm>
          <a:off x="161925" y="12534900"/>
          <a:ext cx="49530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100" b="1">
              <a:latin typeface="Arial" panose="020B0604020202020204" pitchFamily="34" charset="0"/>
              <a:cs typeface="Arial" panose="020B0604020202020204" pitchFamily="34" charset="0"/>
            </a:rPr>
            <a:t>VIII.</a:t>
          </a:r>
        </a:p>
      </xdr:txBody>
    </xdr:sp>
    <xdr:clientData/>
  </xdr:twoCellAnchor>
  <xdr:twoCellAnchor>
    <xdr:from>
      <xdr:col>1</xdr:col>
      <xdr:colOff>25400</xdr:colOff>
      <xdr:row>63</xdr:row>
      <xdr:rowOff>25400</xdr:rowOff>
    </xdr:from>
    <xdr:to>
      <xdr:col>2</xdr:col>
      <xdr:colOff>304067</xdr:colOff>
      <xdr:row>65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5BC48A-4084-49A6-9020-794054ED1CFA}"/>
            </a:ext>
          </a:extLst>
        </xdr:cNvPr>
        <xdr:cNvSpPr txBox="1"/>
      </xdr:nvSpPr>
      <xdr:spPr>
        <a:xfrm>
          <a:off x="161925" y="11363325"/>
          <a:ext cx="49530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100" b="1">
              <a:latin typeface="Arial" panose="020B0604020202020204" pitchFamily="34" charset="0"/>
              <a:cs typeface="Arial" panose="020B0604020202020204" pitchFamily="34" charset="0"/>
            </a:rPr>
            <a:t>VII.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25400</xdr:rowOff>
    </xdr:from>
    <xdr:to>
      <xdr:col>4</xdr:col>
      <xdr:colOff>177800</xdr:colOff>
      <xdr:row>6</xdr:row>
      <xdr:rowOff>63500</xdr:rowOff>
    </xdr:to>
    <xdr:pic>
      <xdr:nvPicPr>
        <xdr:cNvPr id="4209" name="Picture 1">
          <a:extLst>
            <a:ext uri="{FF2B5EF4-FFF2-40B4-BE49-F238E27FC236}">
              <a16:creationId xmlns:a16="http://schemas.microsoft.com/office/drawing/2014/main" id="{BBCAD1F9-378B-1676-57B7-CC46DE8C1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7" t="9427" r="54680" b="5731"/>
        <a:stretch>
          <a:fillRect/>
        </a:stretch>
      </xdr:blipFill>
      <xdr:spPr bwMode="auto">
        <a:xfrm>
          <a:off x="165100" y="127000"/>
          <a:ext cx="109220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76200</xdr:rowOff>
    </xdr:from>
    <xdr:to>
      <xdr:col>6</xdr:col>
      <xdr:colOff>9525</xdr:colOff>
      <xdr:row>6</xdr:row>
      <xdr:rowOff>95250</xdr:rowOff>
    </xdr:to>
    <xdr:pic>
      <xdr:nvPicPr>
        <xdr:cNvPr id="5244" name="Picture 1">
          <a:extLst>
            <a:ext uri="{FF2B5EF4-FFF2-40B4-BE49-F238E27FC236}">
              <a16:creationId xmlns:a16="http://schemas.microsoft.com/office/drawing/2014/main" id="{72FBF455-955E-646F-8C61-2C5A9B03C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39700"/>
          <a:ext cx="1244600" cy="114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31750</xdr:rowOff>
    </xdr:from>
    <xdr:to>
      <xdr:col>3</xdr:col>
      <xdr:colOff>0</xdr:colOff>
      <xdr:row>4</xdr:row>
      <xdr:rowOff>28575</xdr:rowOff>
    </xdr:to>
    <xdr:pic>
      <xdr:nvPicPr>
        <xdr:cNvPr id="6242" name="Picture 1">
          <a:extLst>
            <a:ext uri="{FF2B5EF4-FFF2-40B4-BE49-F238E27FC236}">
              <a16:creationId xmlns:a16="http://schemas.microsoft.com/office/drawing/2014/main" id="{AF31F551-8A04-6209-70D2-BEAC930CC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33350"/>
          <a:ext cx="6413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3D91-F12A-44B0-8738-C56C598C2A13}">
  <sheetPr codeName="Sheet1">
    <tabColor theme="0" tint="-0.34998626667073579"/>
  </sheetPr>
  <dimension ref="A1:BB1294"/>
  <sheetViews>
    <sheetView zoomScale="70" zoomScaleNormal="70" workbookViewId="0">
      <selection activeCell="W17" sqref="W17:Z17"/>
    </sheetView>
  </sheetViews>
  <sheetFormatPr baseColWidth="10" defaultColWidth="0" defaultRowHeight="12.75" customHeight="1" zeroHeight="1"/>
  <cols>
    <col min="1" max="1" width="1" style="23" customWidth="1"/>
    <col min="2" max="2" width="2.7265625" style="12" customWidth="1"/>
    <col min="3" max="3" width="6" style="12" customWidth="1"/>
    <col min="4" max="4" width="12.1796875" style="12" customWidth="1"/>
    <col min="5" max="6" width="9.1796875" style="12" customWidth="1"/>
    <col min="7" max="8" width="9" style="12" customWidth="1"/>
    <col min="9" max="14" width="9.1796875" style="12" customWidth="1"/>
    <col min="15" max="15" width="19.7265625" style="12" customWidth="1"/>
    <col min="16" max="20" width="9.1796875" style="12" customWidth="1"/>
    <col min="21" max="21" width="11" style="12" bestFit="1" customWidth="1"/>
    <col min="22" max="26" width="9.1796875" style="12" customWidth="1"/>
    <col min="27" max="27" width="4.7265625" style="33" customWidth="1"/>
    <col min="28" max="28" width="0.81640625" style="11" customWidth="1"/>
    <col min="29" max="29" width="0" style="10" hidden="1" customWidth="1"/>
    <col min="30" max="54" width="0" style="11" hidden="1" customWidth="1"/>
    <col min="55" max="16384" width="0" style="12" hidden="1"/>
  </cols>
  <sheetData>
    <row r="1" spans="1:31" ht="5.2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8"/>
    </row>
    <row r="2" spans="1:31" ht="10.5" customHeight="1">
      <c r="A2" s="8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8"/>
      <c r="T2" s="18"/>
      <c r="U2" s="18"/>
      <c r="V2" s="18"/>
      <c r="W2" s="18"/>
      <c r="X2" s="18"/>
      <c r="Y2" s="18"/>
      <c r="Z2" s="18"/>
      <c r="AA2" s="19"/>
      <c r="AB2" s="8"/>
    </row>
    <row r="3" spans="1:31" ht="18">
      <c r="A3" s="8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  <c r="R3" s="18"/>
      <c r="S3" s="18"/>
      <c r="T3" s="18"/>
      <c r="U3" s="18"/>
      <c r="V3" s="18"/>
      <c r="W3" s="18"/>
      <c r="X3" s="18"/>
      <c r="Y3" s="18"/>
      <c r="Z3" s="19"/>
      <c r="AA3" s="20"/>
      <c r="AB3" s="8"/>
      <c r="AD3" s="10"/>
      <c r="AE3" s="21"/>
    </row>
    <row r="4" spans="1:31" ht="30.75" customHeight="1" thickBot="1">
      <c r="A4" s="8"/>
      <c r="B4" s="16"/>
      <c r="C4" s="22"/>
      <c r="D4" s="22"/>
      <c r="E4" s="255" t="s">
        <v>161</v>
      </c>
      <c r="F4" s="255"/>
      <c r="G4" s="255"/>
      <c r="H4" s="255"/>
      <c r="I4" s="255"/>
      <c r="J4" s="255"/>
      <c r="K4" s="255"/>
      <c r="L4" s="255"/>
      <c r="M4" s="255"/>
      <c r="N4" s="255"/>
      <c r="O4" s="23"/>
      <c r="P4" s="22"/>
      <c r="Q4" s="18"/>
      <c r="R4" s="18"/>
      <c r="S4" s="18"/>
      <c r="T4" s="18"/>
      <c r="U4" s="18"/>
      <c r="V4" s="18"/>
      <c r="W4" s="18"/>
      <c r="X4" s="230" t="s">
        <v>66</v>
      </c>
      <c r="Y4" s="230"/>
      <c r="Z4" s="230"/>
      <c r="AA4" s="20"/>
      <c r="AB4" s="8"/>
      <c r="AD4" s="10"/>
      <c r="AE4" s="21"/>
    </row>
    <row r="5" spans="1:31" ht="20.25" customHeight="1">
      <c r="A5" s="8"/>
      <c r="B5" s="16"/>
      <c r="C5" s="22"/>
      <c r="D5" s="22"/>
      <c r="E5" s="264" t="s">
        <v>65</v>
      </c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2"/>
      <c r="Q5" s="18"/>
      <c r="R5" s="18"/>
      <c r="S5" s="18"/>
      <c r="T5" s="18"/>
      <c r="U5" s="18"/>
      <c r="V5" s="18"/>
      <c r="W5" s="18"/>
      <c r="X5" s="230"/>
      <c r="Y5" s="230"/>
      <c r="Z5" s="230"/>
      <c r="AA5" s="20"/>
      <c r="AB5" s="8"/>
      <c r="AD5" s="21"/>
      <c r="AE5" s="21"/>
    </row>
    <row r="6" spans="1:31" ht="18">
      <c r="A6" s="8"/>
      <c r="B6" s="16"/>
      <c r="C6" s="22"/>
      <c r="D6" s="22"/>
      <c r="E6" s="24"/>
      <c r="F6" s="24"/>
      <c r="G6" s="24"/>
      <c r="H6" s="24"/>
      <c r="I6" s="24"/>
      <c r="J6" s="24"/>
      <c r="K6" s="24"/>
      <c r="L6" s="24"/>
      <c r="M6" s="24"/>
      <c r="N6" s="24"/>
      <c r="O6" s="22"/>
      <c r="P6" s="22"/>
      <c r="Q6" s="18"/>
      <c r="R6" s="18"/>
      <c r="S6" s="18"/>
      <c r="T6" s="18"/>
      <c r="U6" s="18"/>
      <c r="V6" s="18"/>
      <c r="W6" s="18"/>
      <c r="X6" s="23"/>
      <c r="Y6" s="23"/>
      <c r="Z6" s="23"/>
      <c r="AA6" s="20"/>
      <c r="AB6" s="8"/>
      <c r="AD6" s="21"/>
      <c r="AE6" s="21"/>
    </row>
    <row r="7" spans="1:31" ht="18">
      <c r="A7" s="8"/>
      <c r="B7" s="16"/>
      <c r="C7" s="256" t="s">
        <v>197</v>
      </c>
      <c r="D7" s="256"/>
      <c r="E7" s="24"/>
      <c r="F7" s="24"/>
      <c r="G7" s="24"/>
      <c r="H7" s="24"/>
      <c r="I7" s="24"/>
      <c r="J7" s="24"/>
      <c r="K7" s="24"/>
      <c r="L7" s="24"/>
      <c r="M7" s="24"/>
      <c r="N7" s="24"/>
      <c r="O7" s="22"/>
      <c r="P7" s="22"/>
      <c r="Q7" s="18"/>
      <c r="R7" s="18"/>
      <c r="S7" s="18"/>
      <c r="T7" s="18"/>
      <c r="U7" s="18"/>
      <c r="V7" s="18"/>
      <c r="W7" s="18"/>
      <c r="X7" s="260" t="s">
        <v>56</v>
      </c>
      <c r="Y7" s="260"/>
      <c r="Z7" s="260"/>
      <c r="AA7" s="20"/>
      <c r="AB7" s="8"/>
      <c r="AD7" s="21"/>
      <c r="AE7" s="21"/>
    </row>
    <row r="8" spans="1:31" ht="18">
      <c r="A8" s="8"/>
      <c r="B8" s="13"/>
      <c r="C8" s="256"/>
      <c r="D8" s="256"/>
      <c r="E8" s="26"/>
      <c r="F8" s="17"/>
      <c r="G8" s="17"/>
      <c r="H8" s="17"/>
      <c r="I8" s="17"/>
      <c r="J8" s="17"/>
      <c r="K8" s="17"/>
      <c r="L8" s="17"/>
      <c r="M8" s="18"/>
      <c r="N8" s="18"/>
      <c r="O8" s="265"/>
      <c r="P8" s="265"/>
      <c r="Q8" s="265"/>
      <c r="R8" s="254"/>
      <c r="S8" s="254"/>
      <c r="T8" s="254"/>
      <c r="U8" s="254"/>
      <c r="V8" s="254"/>
      <c r="W8" s="18"/>
      <c r="X8" s="261">
        <f>AÑO_FISCAL</f>
        <v>0</v>
      </c>
      <c r="Y8" s="262"/>
      <c r="Z8" s="263"/>
      <c r="AA8" s="20"/>
      <c r="AB8" s="8"/>
      <c r="AD8" s="21"/>
      <c r="AE8" s="21"/>
    </row>
    <row r="9" spans="1:31" ht="18.5" thickBot="1">
      <c r="A9" s="8"/>
      <c r="B9" s="17"/>
      <c r="D9" s="22"/>
      <c r="E9" s="22"/>
      <c r="F9" s="22"/>
      <c r="G9" s="22"/>
      <c r="H9" s="22"/>
      <c r="I9" s="22"/>
      <c r="J9" s="22"/>
      <c r="K9" s="22"/>
      <c r="L9" s="22"/>
      <c r="M9" s="22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28"/>
      <c r="AB9" s="8"/>
      <c r="AD9" s="21"/>
      <c r="AE9" s="21"/>
    </row>
    <row r="10" spans="1:31" ht="18">
      <c r="A10" s="8"/>
      <c r="B10" s="17"/>
      <c r="C10" s="97"/>
      <c r="D10" s="104" t="s">
        <v>53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6"/>
      <c r="AA10" s="28"/>
      <c r="AB10" s="8"/>
      <c r="AD10" s="21"/>
      <c r="AE10" s="21"/>
    </row>
    <row r="11" spans="1:31" ht="18">
      <c r="A11" s="8"/>
      <c r="B11" s="17"/>
      <c r="C11" s="92"/>
      <c r="D11" s="257" t="s">
        <v>168</v>
      </c>
      <c r="E11" s="257"/>
      <c r="F11" s="257"/>
      <c r="G11" s="257"/>
      <c r="H11" s="257"/>
      <c r="I11" s="18"/>
      <c r="J11" s="18"/>
      <c r="K11" s="18"/>
      <c r="L11" s="64" t="s">
        <v>118</v>
      </c>
      <c r="M11" s="63"/>
      <c r="N11" s="63"/>
      <c r="O11" s="63"/>
      <c r="P11" s="63"/>
      <c r="Q11" s="63"/>
      <c r="R11" s="63"/>
      <c r="S11" s="63"/>
      <c r="T11" s="63"/>
      <c r="U11" s="23"/>
      <c r="V11" s="23"/>
      <c r="W11" s="23"/>
      <c r="X11" s="23"/>
      <c r="Z11" s="107"/>
      <c r="AA11" s="28"/>
      <c r="AB11" s="8"/>
      <c r="AD11" s="21"/>
      <c r="AE11" s="21"/>
    </row>
    <row r="12" spans="1:31" ht="18">
      <c r="A12" s="8"/>
      <c r="B12" s="17"/>
      <c r="C12" s="92"/>
      <c r="D12" s="258">
        <f>RNC</f>
        <v>0</v>
      </c>
      <c r="E12" s="258"/>
      <c r="F12" s="258"/>
      <c r="G12" s="258"/>
      <c r="H12" s="258"/>
      <c r="I12" s="18"/>
      <c r="J12" s="18"/>
      <c r="K12" s="18"/>
      <c r="L12" s="259">
        <f>NOMBRE</f>
        <v>0</v>
      </c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107"/>
      <c r="AA12" s="28"/>
      <c r="AB12" s="8"/>
      <c r="AD12" s="21"/>
      <c r="AE12" s="21"/>
    </row>
    <row r="13" spans="1:31" ht="18.5" thickBot="1">
      <c r="A13" s="8"/>
      <c r="B13" s="17"/>
      <c r="C13" s="93"/>
      <c r="D13" s="91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96"/>
      <c r="AA13" s="28"/>
      <c r="AB13" s="8"/>
      <c r="AD13" s="21"/>
      <c r="AE13" s="21"/>
    </row>
    <row r="14" spans="1:31" ht="18.5" thickBot="1">
      <c r="A14" s="8"/>
      <c r="B14" s="18"/>
      <c r="C14" s="29"/>
      <c r="D14" s="29"/>
      <c r="E14" s="29"/>
      <c r="F14" s="29"/>
      <c r="G14" s="18"/>
      <c r="H14" s="18"/>
      <c r="I14" s="18"/>
      <c r="J14" s="18"/>
      <c r="K14" s="18"/>
      <c r="L14" s="18"/>
      <c r="M14" s="29"/>
      <c r="N14" s="29"/>
      <c r="O14" s="29"/>
      <c r="P14" s="29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20"/>
      <c r="AB14" s="8"/>
    </row>
    <row r="15" spans="1:31" ht="17.5">
      <c r="A15" s="8"/>
      <c r="B15" s="22"/>
      <c r="C15" s="249" t="s">
        <v>171</v>
      </c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1"/>
      <c r="AA15" s="20"/>
      <c r="AB15" s="8"/>
    </row>
    <row r="16" spans="1:31" ht="18">
      <c r="A16" s="8"/>
      <c r="B16" s="22"/>
      <c r="C16" s="201"/>
      <c r="D16" s="252" t="s">
        <v>54</v>
      </c>
      <c r="E16" s="252"/>
      <c r="F16" s="252"/>
      <c r="G16" s="252"/>
      <c r="H16" s="252"/>
      <c r="I16" s="252"/>
      <c r="J16" s="252" t="s">
        <v>68</v>
      </c>
      <c r="K16" s="252"/>
      <c r="L16" s="252" t="s">
        <v>69</v>
      </c>
      <c r="M16" s="252"/>
      <c r="N16" s="252" t="s">
        <v>70</v>
      </c>
      <c r="O16" s="252"/>
      <c r="P16" s="252" t="s">
        <v>71</v>
      </c>
      <c r="Q16" s="252"/>
      <c r="R16" s="252" t="s">
        <v>72</v>
      </c>
      <c r="S16" s="252"/>
      <c r="T16" s="252"/>
      <c r="U16" s="252"/>
      <c r="V16" s="252"/>
      <c r="W16" s="252" t="s">
        <v>73</v>
      </c>
      <c r="X16" s="252"/>
      <c r="Y16" s="252"/>
      <c r="Z16" s="253"/>
      <c r="AA16" s="20"/>
      <c r="AB16" s="8"/>
    </row>
    <row r="17" spans="1:28" ht="18">
      <c r="A17" s="8"/>
      <c r="B17" s="31"/>
      <c r="C17" s="199">
        <v>1</v>
      </c>
      <c r="D17" s="245"/>
      <c r="E17" s="245"/>
      <c r="F17" s="245"/>
      <c r="G17" s="245"/>
      <c r="H17" s="245"/>
      <c r="I17" s="245"/>
      <c r="J17" s="246"/>
      <c r="K17" s="246"/>
      <c r="L17" s="242"/>
      <c r="M17" s="242"/>
      <c r="N17" s="247"/>
      <c r="O17" s="247"/>
      <c r="P17" s="248"/>
      <c r="Q17" s="248"/>
      <c r="R17" s="242"/>
      <c r="S17" s="242"/>
      <c r="T17" s="242"/>
      <c r="U17" s="242"/>
      <c r="V17" s="242"/>
      <c r="W17" s="243"/>
      <c r="X17" s="243"/>
      <c r="Y17" s="243"/>
      <c r="Z17" s="244"/>
      <c r="AA17" s="20"/>
      <c r="AB17" s="8"/>
    </row>
    <row r="18" spans="1:28" ht="18">
      <c r="A18" s="8"/>
      <c r="B18" s="31"/>
      <c r="C18" s="199">
        <v>2</v>
      </c>
      <c r="D18" s="245"/>
      <c r="E18" s="245"/>
      <c r="F18" s="245"/>
      <c r="G18" s="245"/>
      <c r="H18" s="245"/>
      <c r="I18" s="245"/>
      <c r="J18" s="246"/>
      <c r="K18" s="246"/>
      <c r="L18" s="242"/>
      <c r="M18" s="242"/>
      <c r="N18" s="247"/>
      <c r="O18" s="247"/>
      <c r="P18" s="248"/>
      <c r="Q18" s="248"/>
      <c r="R18" s="242"/>
      <c r="S18" s="242"/>
      <c r="T18" s="242"/>
      <c r="U18" s="242"/>
      <c r="V18" s="242"/>
      <c r="W18" s="243"/>
      <c r="X18" s="243"/>
      <c r="Y18" s="243"/>
      <c r="Z18" s="244"/>
      <c r="AA18" s="20"/>
      <c r="AB18" s="8"/>
    </row>
    <row r="19" spans="1:28" ht="18">
      <c r="A19" s="8"/>
      <c r="B19" s="31"/>
      <c r="C19" s="199">
        <v>3</v>
      </c>
      <c r="D19" s="245"/>
      <c r="E19" s="245"/>
      <c r="F19" s="245"/>
      <c r="G19" s="245"/>
      <c r="H19" s="245"/>
      <c r="I19" s="245"/>
      <c r="J19" s="246"/>
      <c r="K19" s="246"/>
      <c r="L19" s="242"/>
      <c r="M19" s="242"/>
      <c r="N19" s="247"/>
      <c r="O19" s="247"/>
      <c r="P19" s="248"/>
      <c r="Q19" s="248"/>
      <c r="R19" s="242"/>
      <c r="S19" s="242"/>
      <c r="T19" s="242"/>
      <c r="U19" s="242"/>
      <c r="V19" s="242"/>
      <c r="W19" s="243"/>
      <c r="X19" s="243"/>
      <c r="Y19" s="243"/>
      <c r="Z19" s="244"/>
      <c r="AA19" s="15"/>
      <c r="AB19" s="8"/>
    </row>
    <row r="20" spans="1:28" ht="18">
      <c r="A20" s="8"/>
      <c r="B20" s="31"/>
      <c r="C20" s="199">
        <v>4</v>
      </c>
      <c r="D20" s="245"/>
      <c r="E20" s="245"/>
      <c r="F20" s="245"/>
      <c r="G20" s="245"/>
      <c r="H20" s="245"/>
      <c r="I20" s="245"/>
      <c r="J20" s="246"/>
      <c r="K20" s="246"/>
      <c r="L20" s="242"/>
      <c r="M20" s="242"/>
      <c r="N20" s="247"/>
      <c r="O20" s="247"/>
      <c r="P20" s="248"/>
      <c r="Q20" s="248"/>
      <c r="R20" s="242"/>
      <c r="S20" s="242"/>
      <c r="T20" s="242"/>
      <c r="U20" s="242"/>
      <c r="V20" s="242"/>
      <c r="W20" s="243"/>
      <c r="X20" s="243"/>
      <c r="Y20" s="243"/>
      <c r="Z20" s="244"/>
      <c r="AA20" s="15"/>
      <c r="AB20" s="8"/>
    </row>
    <row r="21" spans="1:28" ht="18">
      <c r="A21" s="8"/>
      <c r="B21" s="31"/>
      <c r="C21" s="199">
        <v>5</v>
      </c>
      <c r="D21" s="245"/>
      <c r="E21" s="245"/>
      <c r="F21" s="245"/>
      <c r="G21" s="245"/>
      <c r="H21" s="245"/>
      <c r="I21" s="245"/>
      <c r="J21" s="246"/>
      <c r="K21" s="246"/>
      <c r="L21" s="242"/>
      <c r="M21" s="242"/>
      <c r="N21" s="247"/>
      <c r="O21" s="247"/>
      <c r="P21" s="248"/>
      <c r="Q21" s="248"/>
      <c r="R21" s="242"/>
      <c r="S21" s="242"/>
      <c r="T21" s="242"/>
      <c r="U21" s="242"/>
      <c r="V21" s="242"/>
      <c r="W21" s="243"/>
      <c r="X21" s="243"/>
      <c r="Y21" s="243"/>
      <c r="Z21" s="244"/>
      <c r="AA21" s="15"/>
      <c r="AB21" s="8"/>
    </row>
    <row r="22" spans="1:28" ht="18">
      <c r="A22" s="8"/>
      <c r="B22" s="31"/>
      <c r="C22" s="199">
        <v>6</v>
      </c>
      <c r="D22" s="245"/>
      <c r="E22" s="245"/>
      <c r="F22" s="245"/>
      <c r="G22" s="245"/>
      <c r="H22" s="245"/>
      <c r="I22" s="245"/>
      <c r="J22" s="246"/>
      <c r="K22" s="246"/>
      <c r="L22" s="242"/>
      <c r="M22" s="242"/>
      <c r="N22" s="247"/>
      <c r="O22" s="247"/>
      <c r="P22" s="248"/>
      <c r="Q22" s="248"/>
      <c r="R22" s="242"/>
      <c r="S22" s="242"/>
      <c r="T22" s="242"/>
      <c r="U22" s="242"/>
      <c r="V22" s="242"/>
      <c r="W22" s="243"/>
      <c r="X22" s="243"/>
      <c r="Y22" s="243"/>
      <c r="Z22" s="244"/>
      <c r="AA22" s="15"/>
      <c r="AB22" s="8"/>
    </row>
    <row r="23" spans="1:28" ht="18">
      <c r="A23" s="8"/>
      <c r="B23" s="31"/>
      <c r="C23" s="199">
        <v>7</v>
      </c>
      <c r="D23" s="245"/>
      <c r="E23" s="245"/>
      <c r="F23" s="245"/>
      <c r="G23" s="245"/>
      <c r="H23" s="245"/>
      <c r="I23" s="245"/>
      <c r="J23" s="246"/>
      <c r="K23" s="246"/>
      <c r="L23" s="242"/>
      <c r="M23" s="242"/>
      <c r="N23" s="247"/>
      <c r="O23" s="247"/>
      <c r="P23" s="248"/>
      <c r="Q23" s="248"/>
      <c r="R23" s="242"/>
      <c r="S23" s="242"/>
      <c r="T23" s="242"/>
      <c r="U23" s="242"/>
      <c r="V23" s="242"/>
      <c r="W23" s="243"/>
      <c r="X23" s="243"/>
      <c r="Y23" s="243"/>
      <c r="Z23" s="244"/>
      <c r="AA23" s="15"/>
      <c r="AB23" s="8"/>
    </row>
    <row r="24" spans="1:28" ht="18">
      <c r="A24" s="8"/>
      <c r="B24" s="31"/>
      <c r="C24" s="199">
        <v>8</v>
      </c>
      <c r="D24" s="245"/>
      <c r="E24" s="245"/>
      <c r="F24" s="245"/>
      <c r="G24" s="245"/>
      <c r="H24" s="245"/>
      <c r="I24" s="245"/>
      <c r="J24" s="246"/>
      <c r="K24" s="246"/>
      <c r="L24" s="242"/>
      <c r="M24" s="242"/>
      <c r="N24" s="247"/>
      <c r="O24" s="247"/>
      <c r="P24" s="248"/>
      <c r="Q24" s="248"/>
      <c r="R24" s="242"/>
      <c r="S24" s="242"/>
      <c r="T24" s="242"/>
      <c r="U24" s="242"/>
      <c r="V24" s="242"/>
      <c r="W24" s="243"/>
      <c r="X24" s="243"/>
      <c r="Y24" s="243"/>
      <c r="Z24" s="244"/>
      <c r="AA24" s="15"/>
      <c r="AB24" s="8"/>
    </row>
    <row r="25" spans="1:28" ht="18">
      <c r="A25" s="8"/>
      <c r="B25" s="31"/>
      <c r="C25" s="199">
        <v>9</v>
      </c>
      <c r="D25" s="245"/>
      <c r="E25" s="245"/>
      <c r="F25" s="245"/>
      <c r="G25" s="245"/>
      <c r="H25" s="245"/>
      <c r="I25" s="245"/>
      <c r="J25" s="246"/>
      <c r="K25" s="246"/>
      <c r="L25" s="242"/>
      <c r="M25" s="242"/>
      <c r="N25" s="247"/>
      <c r="O25" s="247"/>
      <c r="P25" s="248"/>
      <c r="Q25" s="248"/>
      <c r="R25" s="242"/>
      <c r="S25" s="242"/>
      <c r="T25" s="242"/>
      <c r="U25" s="242"/>
      <c r="V25" s="242"/>
      <c r="W25" s="243"/>
      <c r="X25" s="243"/>
      <c r="Y25" s="243"/>
      <c r="Z25" s="244"/>
      <c r="AA25" s="15"/>
      <c r="AB25" s="8"/>
    </row>
    <row r="26" spans="1:28" ht="18">
      <c r="A26" s="8"/>
      <c r="B26" s="31"/>
      <c r="C26" s="199">
        <v>10</v>
      </c>
      <c r="D26" s="245"/>
      <c r="E26" s="245"/>
      <c r="F26" s="245"/>
      <c r="G26" s="245"/>
      <c r="H26" s="245"/>
      <c r="I26" s="245"/>
      <c r="J26" s="246"/>
      <c r="K26" s="246"/>
      <c r="L26" s="242"/>
      <c r="M26" s="242"/>
      <c r="N26" s="247"/>
      <c r="O26" s="247"/>
      <c r="P26" s="248"/>
      <c r="Q26" s="248"/>
      <c r="R26" s="242"/>
      <c r="S26" s="242"/>
      <c r="T26" s="242"/>
      <c r="U26" s="242"/>
      <c r="V26" s="242"/>
      <c r="W26" s="243"/>
      <c r="X26" s="243"/>
      <c r="Y26" s="243"/>
      <c r="Z26" s="244"/>
      <c r="AA26" s="15"/>
      <c r="AB26" s="8"/>
    </row>
    <row r="27" spans="1:28" ht="18">
      <c r="A27" s="8"/>
      <c r="B27" s="31"/>
      <c r="C27" s="199">
        <v>11</v>
      </c>
      <c r="D27" s="245"/>
      <c r="E27" s="245"/>
      <c r="F27" s="245"/>
      <c r="G27" s="245"/>
      <c r="H27" s="245"/>
      <c r="I27" s="245"/>
      <c r="J27" s="246"/>
      <c r="K27" s="246"/>
      <c r="L27" s="242"/>
      <c r="M27" s="242"/>
      <c r="N27" s="247"/>
      <c r="O27" s="247"/>
      <c r="P27" s="248"/>
      <c r="Q27" s="248"/>
      <c r="R27" s="242"/>
      <c r="S27" s="242"/>
      <c r="T27" s="242"/>
      <c r="U27" s="242"/>
      <c r="V27" s="242"/>
      <c r="W27" s="243"/>
      <c r="X27" s="243"/>
      <c r="Y27" s="243"/>
      <c r="Z27" s="244"/>
      <c r="AA27" s="15"/>
      <c r="AB27" s="8"/>
    </row>
    <row r="28" spans="1:28" ht="18">
      <c r="A28" s="8"/>
      <c r="B28" s="31"/>
      <c r="C28" s="199">
        <v>12</v>
      </c>
      <c r="D28" s="245"/>
      <c r="E28" s="245"/>
      <c r="F28" s="245"/>
      <c r="G28" s="245"/>
      <c r="H28" s="245"/>
      <c r="I28" s="245"/>
      <c r="J28" s="246"/>
      <c r="K28" s="246"/>
      <c r="L28" s="242"/>
      <c r="M28" s="242"/>
      <c r="N28" s="247"/>
      <c r="O28" s="247"/>
      <c r="P28" s="248"/>
      <c r="Q28" s="248"/>
      <c r="R28" s="242"/>
      <c r="S28" s="242"/>
      <c r="T28" s="242"/>
      <c r="U28" s="242"/>
      <c r="V28" s="242"/>
      <c r="W28" s="243"/>
      <c r="X28" s="243"/>
      <c r="Y28" s="243"/>
      <c r="Z28" s="244"/>
      <c r="AA28" s="15"/>
      <c r="AB28" s="8"/>
    </row>
    <row r="29" spans="1:28" ht="18">
      <c r="A29" s="8"/>
      <c r="B29" s="31"/>
      <c r="C29" s="199">
        <v>13</v>
      </c>
      <c r="D29" s="245"/>
      <c r="E29" s="245"/>
      <c r="F29" s="245"/>
      <c r="G29" s="245"/>
      <c r="H29" s="245"/>
      <c r="I29" s="245"/>
      <c r="J29" s="246"/>
      <c r="K29" s="246"/>
      <c r="L29" s="242"/>
      <c r="M29" s="242"/>
      <c r="N29" s="247"/>
      <c r="O29" s="247"/>
      <c r="P29" s="248"/>
      <c r="Q29" s="248"/>
      <c r="R29" s="242"/>
      <c r="S29" s="242"/>
      <c r="T29" s="242"/>
      <c r="U29" s="242"/>
      <c r="V29" s="242"/>
      <c r="W29" s="243"/>
      <c r="X29" s="243"/>
      <c r="Y29" s="243"/>
      <c r="Z29" s="244"/>
      <c r="AA29" s="15"/>
      <c r="AB29" s="8"/>
    </row>
    <row r="30" spans="1:28" ht="18">
      <c r="A30" s="8"/>
      <c r="B30" s="31"/>
      <c r="C30" s="199">
        <v>14</v>
      </c>
      <c r="D30" s="245"/>
      <c r="E30" s="245"/>
      <c r="F30" s="245"/>
      <c r="G30" s="245"/>
      <c r="H30" s="245"/>
      <c r="I30" s="245"/>
      <c r="J30" s="246"/>
      <c r="K30" s="246"/>
      <c r="L30" s="242"/>
      <c r="M30" s="242"/>
      <c r="N30" s="247"/>
      <c r="O30" s="247"/>
      <c r="P30" s="248"/>
      <c r="Q30" s="248"/>
      <c r="R30" s="242"/>
      <c r="S30" s="242"/>
      <c r="T30" s="242"/>
      <c r="U30" s="242"/>
      <c r="V30" s="242"/>
      <c r="W30" s="243"/>
      <c r="X30" s="243"/>
      <c r="Y30" s="243"/>
      <c r="Z30" s="244"/>
      <c r="AA30" s="15"/>
      <c r="AB30" s="8"/>
    </row>
    <row r="31" spans="1:28" ht="18">
      <c r="A31" s="8"/>
      <c r="B31" s="31"/>
      <c r="C31" s="199">
        <v>15</v>
      </c>
      <c r="D31" s="245"/>
      <c r="E31" s="245"/>
      <c r="F31" s="245"/>
      <c r="G31" s="245"/>
      <c r="H31" s="245"/>
      <c r="I31" s="245"/>
      <c r="J31" s="246"/>
      <c r="K31" s="246"/>
      <c r="L31" s="242"/>
      <c r="M31" s="242"/>
      <c r="N31" s="247"/>
      <c r="O31" s="247"/>
      <c r="P31" s="248"/>
      <c r="Q31" s="248"/>
      <c r="R31" s="242"/>
      <c r="S31" s="242"/>
      <c r="T31" s="242"/>
      <c r="U31" s="242"/>
      <c r="V31" s="242"/>
      <c r="W31" s="243"/>
      <c r="X31" s="243"/>
      <c r="Y31" s="243"/>
      <c r="Z31" s="244"/>
      <c r="AA31" s="15"/>
      <c r="AB31" s="8"/>
    </row>
    <row r="32" spans="1:28" ht="18">
      <c r="A32" s="8"/>
      <c r="B32" s="31"/>
      <c r="C32" s="199">
        <v>16</v>
      </c>
      <c r="D32" s="245"/>
      <c r="E32" s="245"/>
      <c r="F32" s="245"/>
      <c r="G32" s="245"/>
      <c r="H32" s="245"/>
      <c r="I32" s="245"/>
      <c r="J32" s="246"/>
      <c r="K32" s="246"/>
      <c r="L32" s="242"/>
      <c r="M32" s="242"/>
      <c r="N32" s="247"/>
      <c r="O32" s="247"/>
      <c r="P32" s="248"/>
      <c r="Q32" s="248"/>
      <c r="R32" s="242"/>
      <c r="S32" s="242"/>
      <c r="T32" s="242"/>
      <c r="U32" s="242"/>
      <c r="V32" s="242"/>
      <c r="W32" s="243"/>
      <c r="X32" s="243"/>
      <c r="Y32" s="243"/>
      <c r="Z32" s="244"/>
      <c r="AA32" s="15"/>
      <c r="AB32" s="8"/>
    </row>
    <row r="33" spans="1:28" ht="18">
      <c r="A33" s="8"/>
      <c r="B33" s="31"/>
      <c r="C33" s="199">
        <v>17</v>
      </c>
      <c r="D33" s="245"/>
      <c r="E33" s="245"/>
      <c r="F33" s="245"/>
      <c r="G33" s="245"/>
      <c r="H33" s="245"/>
      <c r="I33" s="245"/>
      <c r="J33" s="246"/>
      <c r="K33" s="246"/>
      <c r="L33" s="242"/>
      <c r="M33" s="242"/>
      <c r="N33" s="247"/>
      <c r="O33" s="247"/>
      <c r="P33" s="248"/>
      <c r="Q33" s="248"/>
      <c r="R33" s="242"/>
      <c r="S33" s="242"/>
      <c r="T33" s="242"/>
      <c r="U33" s="242"/>
      <c r="V33" s="242"/>
      <c r="W33" s="243"/>
      <c r="X33" s="243"/>
      <c r="Y33" s="243"/>
      <c r="Z33" s="244"/>
      <c r="AA33" s="15"/>
      <c r="AB33" s="8"/>
    </row>
    <row r="34" spans="1:28" ht="18">
      <c r="A34" s="8"/>
      <c r="B34" s="31"/>
      <c r="C34" s="199">
        <v>18</v>
      </c>
      <c r="D34" s="245"/>
      <c r="E34" s="245"/>
      <c r="F34" s="245"/>
      <c r="G34" s="245"/>
      <c r="H34" s="245"/>
      <c r="I34" s="245"/>
      <c r="J34" s="246"/>
      <c r="K34" s="246"/>
      <c r="L34" s="242"/>
      <c r="M34" s="242"/>
      <c r="N34" s="247"/>
      <c r="O34" s="247"/>
      <c r="P34" s="248"/>
      <c r="Q34" s="248"/>
      <c r="R34" s="242"/>
      <c r="S34" s="242"/>
      <c r="T34" s="242"/>
      <c r="U34" s="242"/>
      <c r="V34" s="242"/>
      <c r="W34" s="243"/>
      <c r="X34" s="243"/>
      <c r="Y34" s="243"/>
      <c r="Z34" s="244"/>
      <c r="AA34" s="15"/>
      <c r="AB34" s="8"/>
    </row>
    <row r="35" spans="1:28" ht="18">
      <c r="A35" s="8"/>
      <c r="B35" s="31"/>
      <c r="C35" s="199">
        <v>19</v>
      </c>
      <c r="D35" s="245"/>
      <c r="E35" s="245"/>
      <c r="F35" s="245"/>
      <c r="G35" s="245"/>
      <c r="H35" s="245"/>
      <c r="I35" s="245"/>
      <c r="J35" s="246"/>
      <c r="K35" s="246"/>
      <c r="L35" s="242"/>
      <c r="M35" s="242"/>
      <c r="N35" s="247"/>
      <c r="O35" s="247"/>
      <c r="P35" s="248"/>
      <c r="Q35" s="248"/>
      <c r="R35" s="242"/>
      <c r="S35" s="242"/>
      <c r="T35" s="242"/>
      <c r="U35" s="242"/>
      <c r="V35" s="242"/>
      <c r="W35" s="243"/>
      <c r="X35" s="243"/>
      <c r="Y35" s="243"/>
      <c r="Z35" s="244"/>
      <c r="AA35" s="15"/>
      <c r="AB35" s="8"/>
    </row>
    <row r="36" spans="1:28" ht="18">
      <c r="A36" s="8"/>
      <c r="B36" s="31"/>
      <c r="C36" s="199">
        <v>20</v>
      </c>
      <c r="D36" s="245"/>
      <c r="E36" s="245"/>
      <c r="F36" s="245"/>
      <c r="G36" s="245"/>
      <c r="H36" s="245"/>
      <c r="I36" s="245"/>
      <c r="J36" s="246"/>
      <c r="K36" s="246"/>
      <c r="L36" s="242"/>
      <c r="M36" s="242"/>
      <c r="N36" s="247"/>
      <c r="O36" s="247"/>
      <c r="P36" s="248"/>
      <c r="Q36" s="248"/>
      <c r="R36" s="242"/>
      <c r="S36" s="242"/>
      <c r="T36" s="242"/>
      <c r="U36" s="242"/>
      <c r="V36" s="242"/>
      <c r="W36" s="243"/>
      <c r="X36" s="243"/>
      <c r="Y36" s="243"/>
      <c r="Z36" s="244"/>
      <c r="AA36" s="15"/>
      <c r="AB36" s="8"/>
    </row>
    <row r="37" spans="1:28" ht="18">
      <c r="A37" s="8"/>
      <c r="B37" s="31"/>
      <c r="C37" s="199">
        <v>21</v>
      </c>
      <c r="D37" s="245"/>
      <c r="E37" s="245"/>
      <c r="F37" s="245"/>
      <c r="G37" s="245"/>
      <c r="H37" s="245"/>
      <c r="I37" s="245"/>
      <c r="J37" s="246"/>
      <c r="K37" s="246"/>
      <c r="L37" s="242"/>
      <c r="M37" s="242"/>
      <c r="N37" s="247"/>
      <c r="O37" s="247"/>
      <c r="P37" s="248"/>
      <c r="Q37" s="248"/>
      <c r="R37" s="242"/>
      <c r="S37" s="242"/>
      <c r="T37" s="242"/>
      <c r="U37" s="242"/>
      <c r="V37" s="242"/>
      <c r="W37" s="243"/>
      <c r="X37" s="243"/>
      <c r="Y37" s="243"/>
      <c r="Z37" s="244"/>
      <c r="AA37" s="15"/>
      <c r="AB37" s="8"/>
    </row>
    <row r="38" spans="1:28" ht="18">
      <c r="A38" s="8"/>
      <c r="B38" s="31"/>
      <c r="C38" s="199">
        <v>22</v>
      </c>
      <c r="D38" s="245"/>
      <c r="E38" s="245"/>
      <c r="F38" s="245"/>
      <c r="G38" s="245"/>
      <c r="H38" s="245"/>
      <c r="I38" s="245"/>
      <c r="J38" s="246"/>
      <c r="K38" s="246"/>
      <c r="L38" s="242"/>
      <c r="M38" s="242"/>
      <c r="N38" s="247"/>
      <c r="O38" s="247"/>
      <c r="P38" s="248"/>
      <c r="Q38" s="248"/>
      <c r="R38" s="242"/>
      <c r="S38" s="242"/>
      <c r="T38" s="242"/>
      <c r="U38" s="242"/>
      <c r="V38" s="242"/>
      <c r="W38" s="243"/>
      <c r="X38" s="243"/>
      <c r="Y38" s="243"/>
      <c r="Z38" s="244"/>
      <c r="AA38" s="15"/>
      <c r="AB38" s="8"/>
    </row>
    <row r="39" spans="1:28" ht="18">
      <c r="A39" s="8"/>
      <c r="B39" s="31"/>
      <c r="C39" s="199">
        <v>23</v>
      </c>
      <c r="D39" s="245"/>
      <c r="E39" s="245"/>
      <c r="F39" s="245"/>
      <c r="G39" s="245"/>
      <c r="H39" s="245"/>
      <c r="I39" s="245"/>
      <c r="J39" s="246"/>
      <c r="K39" s="246"/>
      <c r="L39" s="242"/>
      <c r="M39" s="242"/>
      <c r="N39" s="247"/>
      <c r="O39" s="247"/>
      <c r="P39" s="248"/>
      <c r="Q39" s="248"/>
      <c r="R39" s="242"/>
      <c r="S39" s="242"/>
      <c r="T39" s="242"/>
      <c r="U39" s="242"/>
      <c r="V39" s="242"/>
      <c r="W39" s="243"/>
      <c r="X39" s="243"/>
      <c r="Y39" s="243"/>
      <c r="Z39" s="244"/>
      <c r="AA39" s="15"/>
      <c r="AB39" s="8"/>
    </row>
    <row r="40" spans="1:28" ht="18">
      <c r="A40" s="8"/>
      <c r="B40" s="31"/>
      <c r="C40" s="199">
        <v>24</v>
      </c>
      <c r="D40" s="245"/>
      <c r="E40" s="245"/>
      <c r="F40" s="245"/>
      <c r="G40" s="245"/>
      <c r="H40" s="245"/>
      <c r="I40" s="245"/>
      <c r="J40" s="246"/>
      <c r="K40" s="246"/>
      <c r="L40" s="242"/>
      <c r="M40" s="242"/>
      <c r="N40" s="247"/>
      <c r="O40" s="247"/>
      <c r="P40" s="248"/>
      <c r="Q40" s="248"/>
      <c r="R40" s="242"/>
      <c r="S40" s="242"/>
      <c r="T40" s="242"/>
      <c r="U40" s="242"/>
      <c r="V40" s="242"/>
      <c r="W40" s="243"/>
      <c r="X40" s="243"/>
      <c r="Y40" s="243"/>
      <c r="Z40" s="244"/>
      <c r="AA40" s="15"/>
      <c r="AB40" s="8"/>
    </row>
    <row r="41" spans="1:28" ht="18">
      <c r="A41" s="8"/>
      <c r="B41" s="31"/>
      <c r="C41" s="199">
        <v>25</v>
      </c>
      <c r="D41" s="245"/>
      <c r="E41" s="245"/>
      <c r="F41" s="245"/>
      <c r="G41" s="245"/>
      <c r="H41" s="245"/>
      <c r="I41" s="245"/>
      <c r="J41" s="246"/>
      <c r="K41" s="246"/>
      <c r="L41" s="242"/>
      <c r="M41" s="242"/>
      <c r="N41" s="247"/>
      <c r="O41" s="247"/>
      <c r="P41" s="248"/>
      <c r="Q41" s="248"/>
      <c r="R41" s="242"/>
      <c r="S41" s="242"/>
      <c r="T41" s="242"/>
      <c r="U41" s="242"/>
      <c r="V41" s="242"/>
      <c r="W41" s="243"/>
      <c r="X41" s="243"/>
      <c r="Y41" s="243"/>
      <c r="Z41" s="244"/>
      <c r="AA41" s="15"/>
      <c r="AB41" s="8"/>
    </row>
    <row r="42" spans="1:28" ht="18">
      <c r="A42" s="8"/>
      <c r="B42" s="31"/>
      <c r="C42" s="199">
        <v>26</v>
      </c>
      <c r="D42" s="245"/>
      <c r="E42" s="245"/>
      <c r="F42" s="245"/>
      <c r="G42" s="245"/>
      <c r="H42" s="245"/>
      <c r="I42" s="245"/>
      <c r="J42" s="246"/>
      <c r="K42" s="246"/>
      <c r="L42" s="242"/>
      <c r="M42" s="242"/>
      <c r="N42" s="247"/>
      <c r="O42" s="247"/>
      <c r="P42" s="248"/>
      <c r="Q42" s="248"/>
      <c r="R42" s="242"/>
      <c r="S42" s="242"/>
      <c r="T42" s="242"/>
      <c r="U42" s="242"/>
      <c r="V42" s="242"/>
      <c r="W42" s="243"/>
      <c r="X42" s="243"/>
      <c r="Y42" s="243"/>
      <c r="Z42" s="244"/>
      <c r="AA42" s="15"/>
      <c r="AB42" s="8"/>
    </row>
    <row r="43" spans="1:28" ht="18">
      <c r="A43" s="8"/>
      <c r="B43" s="31"/>
      <c r="C43" s="199">
        <v>27</v>
      </c>
      <c r="D43" s="245"/>
      <c r="E43" s="245"/>
      <c r="F43" s="245"/>
      <c r="G43" s="245"/>
      <c r="H43" s="245"/>
      <c r="I43" s="245"/>
      <c r="J43" s="246"/>
      <c r="K43" s="246"/>
      <c r="L43" s="242"/>
      <c r="M43" s="242"/>
      <c r="N43" s="247"/>
      <c r="O43" s="247"/>
      <c r="P43" s="248"/>
      <c r="Q43" s="248"/>
      <c r="R43" s="242"/>
      <c r="S43" s="242"/>
      <c r="T43" s="242"/>
      <c r="U43" s="242"/>
      <c r="V43" s="242"/>
      <c r="W43" s="243"/>
      <c r="X43" s="243"/>
      <c r="Y43" s="243"/>
      <c r="Z43" s="244"/>
      <c r="AA43" s="15"/>
      <c r="AB43" s="8"/>
    </row>
    <row r="44" spans="1:28" ht="18">
      <c r="A44" s="8"/>
      <c r="B44" s="31"/>
      <c r="C44" s="199">
        <v>28</v>
      </c>
      <c r="D44" s="245"/>
      <c r="E44" s="245"/>
      <c r="F44" s="245"/>
      <c r="G44" s="245"/>
      <c r="H44" s="245"/>
      <c r="I44" s="245"/>
      <c r="J44" s="246"/>
      <c r="K44" s="246"/>
      <c r="L44" s="242"/>
      <c r="M44" s="242"/>
      <c r="N44" s="247"/>
      <c r="O44" s="247"/>
      <c r="P44" s="248"/>
      <c r="Q44" s="248"/>
      <c r="R44" s="242"/>
      <c r="S44" s="242"/>
      <c r="T44" s="242"/>
      <c r="U44" s="242"/>
      <c r="V44" s="242"/>
      <c r="W44" s="243"/>
      <c r="X44" s="243"/>
      <c r="Y44" s="243"/>
      <c r="Z44" s="244"/>
      <c r="AA44" s="15"/>
      <c r="AB44" s="8"/>
    </row>
    <row r="45" spans="1:28" ht="18">
      <c r="A45" s="8"/>
      <c r="B45" s="31"/>
      <c r="C45" s="199">
        <v>29</v>
      </c>
      <c r="D45" s="245"/>
      <c r="E45" s="245"/>
      <c r="F45" s="245"/>
      <c r="G45" s="245"/>
      <c r="H45" s="245"/>
      <c r="I45" s="245"/>
      <c r="J45" s="246"/>
      <c r="K45" s="246"/>
      <c r="L45" s="242"/>
      <c r="M45" s="242"/>
      <c r="N45" s="247"/>
      <c r="O45" s="247"/>
      <c r="P45" s="248"/>
      <c r="Q45" s="248"/>
      <c r="R45" s="242"/>
      <c r="S45" s="242"/>
      <c r="T45" s="242"/>
      <c r="U45" s="242"/>
      <c r="V45" s="242"/>
      <c r="W45" s="243"/>
      <c r="X45" s="243"/>
      <c r="Y45" s="243"/>
      <c r="Z45" s="244"/>
      <c r="AA45" s="15"/>
      <c r="AB45" s="8"/>
    </row>
    <row r="46" spans="1:28" ht="18.5" thickBot="1">
      <c r="A46" s="8"/>
      <c r="B46" s="31"/>
      <c r="C46" s="200">
        <v>30</v>
      </c>
      <c r="D46" s="237"/>
      <c r="E46" s="237"/>
      <c r="F46" s="237"/>
      <c r="G46" s="237"/>
      <c r="H46" s="237"/>
      <c r="I46" s="237"/>
      <c r="J46" s="238"/>
      <c r="K46" s="238"/>
      <c r="L46" s="239"/>
      <c r="M46" s="239"/>
      <c r="N46" s="240"/>
      <c r="O46" s="240"/>
      <c r="P46" s="241"/>
      <c r="Q46" s="241"/>
      <c r="R46" s="239"/>
      <c r="S46" s="239"/>
      <c r="T46" s="239"/>
      <c r="U46" s="239"/>
      <c r="V46" s="239"/>
      <c r="W46" s="231"/>
      <c r="X46" s="231"/>
      <c r="Y46" s="231"/>
      <c r="Z46" s="232"/>
      <c r="AA46" s="15"/>
      <c r="AB46" s="8"/>
    </row>
    <row r="47" spans="1:28" ht="18.5" thickBot="1">
      <c r="A47" s="8"/>
      <c r="B47" s="22"/>
      <c r="C47" s="22"/>
      <c r="D47" s="22"/>
      <c r="E47" s="22"/>
      <c r="F47" s="22"/>
      <c r="G47" s="22"/>
      <c r="H47" s="22"/>
      <c r="I47" s="22"/>
      <c r="J47" s="13"/>
      <c r="K47" s="13"/>
      <c r="L47" s="13"/>
      <c r="M47" s="13"/>
      <c r="N47" s="13"/>
      <c r="O47" s="203">
        <v>31</v>
      </c>
      <c r="P47" s="233" t="s">
        <v>74</v>
      </c>
      <c r="Q47" s="234"/>
      <c r="R47" s="235">
        <f>SUM(R17:R46)</f>
        <v>0</v>
      </c>
      <c r="S47" s="235"/>
      <c r="T47" s="235"/>
      <c r="U47" s="235"/>
      <c r="V47" s="236"/>
      <c r="W47" s="13"/>
      <c r="X47" s="13"/>
      <c r="Y47" s="13"/>
      <c r="Z47" s="13"/>
      <c r="AA47" s="15"/>
      <c r="AB47" s="8"/>
    </row>
    <row r="48" spans="1:28" ht="12.5">
      <c r="A48" s="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32"/>
      <c r="V48" s="11"/>
      <c r="W48" s="11"/>
      <c r="X48" s="11"/>
      <c r="Y48" s="11"/>
      <c r="Z48" s="11"/>
      <c r="AB48" s="8"/>
    </row>
    <row r="49" spans="1:29" ht="12.5">
      <c r="A49" s="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B49" s="8"/>
    </row>
    <row r="50" spans="1:29" ht="5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  <c r="AB50" s="8"/>
    </row>
    <row r="51" spans="1:29" s="11" customFormat="1" ht="12.5" hidden="1">
      <c r="A51" s="23"/>
      <c r="AA51" s="33"/>
      <c r="AC51" s="10"/>
    </row>
    <row r="52" spans="1:29" s="11" customFormat="1" ht="12.5" hidden="1">
      <c r="A52" s="23"/>
      <c r="AA52" s="33"/>
      <c r="AC52" s="10"/>
    </row>
    <row r="53" spans="1:29" s="11" customFormat="1" ht="12.5" hidden="1">
      <c r="A53" s="23"/>
      <c r="AA53" s="33"/>
      <c r="AC53" s="10"/>
    </row>
    <row r="54" spans="1:29" s="11" customFormat="1" ht="12.5" hidden="1">
      <c r="A54" s="23"/>
      <c r="AA54" s="33"/>
      <c r="AC54" s="10"/>
    </row>
    <row r="55" spans="1:29" s="11" customFormat="1" ht="12.5" hidden="1">
      <c r="A55" s="23"/>
      <c r="AA55" s="33"/>
      <c r="AC55" s="10"/>
    </row>
    <row r="56" spans="1:29" s="11" customFormat="1" ht="12.5" hidden="1">
      <c r="A56" s="23"/>
      <c r="AA56" s="33"/>
      <c r="AC56" s="10"/>
    </row>
    <row r="57" spans="1:29" s="11" customFormat="1" ht="12.5" hidden="1">
      <c r="A57" s="23"/>
      <c r="AA57" s="33"/>
      <c r="AC57" s="10"/>
    </row>
    <row r="58" spans="1:29" s="11" customFormat="1" ht="12.5" hidden="1">
      <c r="A58" s="23"/>
      <c r="AA58" s="33"/>
      <c r="AC58" s="10"/>
    </row>
    <row r="59" spans="1:29" s="11" customFormat="1" ht="12.5" hidden="1">
      <c r="A59" s="23"/>
      <c r="AA59" s="33"/>
      <c r="AC59" s="10"/>
    </row>
    <row r="60" spans="1:29" s="11" customFormat="1" ht="12.5" hidden="1">
      <c r="A60" s="23"/>
      <c r="AA60" s="33"/>
      <c r="AC60" s="10"/>
    </row>
    <row r="61" spans="1:29" s="11" customFormat="1" ht="12.5" hidden="1">
      <c r="A61" s="23"/>
      <c r="AA61" s="33"/>
      <c r="AC61" s="10"/>
    </row>
    <row r="62" spans="1:29" s="11" customFormat="1" ht="12.5" hidden="1">
      <c r="A62" s="23"/>
      <c r="AA62" s="33"/>
      <c r="AC62" s="10"/>
    </row>
    <row r="63" spans="1:29" s="11" customFormat="1" ht="12.5" hidden="1">
      <c r="A63" s="23"/>
      <c r="AA63" s="33"/>
      <c r="AC63" s="10"/>
    </row>
    <row r="64" spans="1:29" s="11" customFormat="1" ht="12.5" hidden="1">
      <c r="A64" s="23"/>
      <c r="AA64" s="33"/>
      <c r="AC64" s="10"/>
    </row>
    <row r="65" spans="1:29" s="11" customFormat="1" ht="12.5" hidden="1">
      <c r="A65" s="23"/>
      <c r="AA65" s="33"/>
      <c r="AC65" s="10"/>
    </row>
    <row r="66" spans="1:29" s="11" customFormat="1" ht="12.5" hidden="1">
      <c r="A66" s="23"/>
      <c r="AA66" s="33"/>
      <c r="AC66" s="10"/>
    </row>
    <row r="67" spans="1:29" s="11" customFormat="1" ht="12.5" hidden="1">
      <c r="A67" s="23"/>
      <c r="AA67" s="33"/>
      <c r="AC67" s="10"/>
    </row>
    <row r="68" spans="1:29" s="11" customFormat="1" ht="12.5" hidden="1">
      <c r="A68" s="23"/>
      <c r="AA68" s="33"/>
      <c r="AC68" s="10"/>
    </row>
    <row r="69" spans="1:29" s="11" customFormat="1" ht="12.5" hidden="1">
      <c r="A69" s="23"/>
      <c r="AA69" s="33"/>
      <c r="AC69" s="10"/>
    </row>
    <row r="70" spans="1:29" s="11" customFormat="1" ht="12.5" hidden="1">
      <c r="A70" s="23"/>
      <c r="AA70" s="33"/>
      <c r="AC70" s="10"/>
    </row>
    <row r="71" spans="1:29" s="11" customFormat="1" ht="12.5" hidden="1">
      <c r="A71" s="23"/>
      <c r="AA71" s="33"/>
      <c r="AC71" s="10"/>
    </row>
    <row r="72" spans="1:29" s="11" customFormat="1" ht="12.5" hidden="1">
      <c r="A72" s="23"/>
      <c r="AA72" s="33"/>
      <c r="AC72" s="10"/>
    </row>
    <row r="73" spans="1:29" s="11" customFormat="1" ht="12.5" hidden="1">
      <c r="A73" s="23"/>
      <c r="AA73" s="33"/>
      <c r="AC73" s="10"/>
    </row>
    <row r="74" spans="1:29" s="11" customFormat="1" ht="12.5" hidden="1">
      <c r="A74" s="23"/>
      <c r="AA74" s="33"/>
      <c r="AC74" s="10"/>
    </row>
    <row r="75" spans="1:29" s="11" customFormat="1" ht="12.5" hidden="1">
      <c r="A75" s="23"/>
      <c r="AA75" s="33"/>
      <c r="AC75" s="10"/>
    </row>
    <row r="76" spans="1:29" s="11" customFormat="1" ht="12.5" hidden="1">
      <c r="A76" s="23"/>
      <c r="AA76" s="33"/>
      <c r="AC76" s="10"/>
    </row>
    <row r="77" spans="1:29" s="11" customFormat="1" ht="12.5" hidden="1">
      <c r="A77" s="23"/>
      <c r="AA77" s="33"/>
      <c r="AC77" s="10"/>
    </row>
    <row r="78" spans="1:29" s="11" customFormat="1" ht="12.5" hidden="1">
      <c r="A78" s="23"/>
      <c r="AA78" s="33"/>
      <c r="AC78" s="10"/>
    </row>
    <row r="79" spans="1:29" s="11" customFormat="1" ht="12.5" hidden="1">
      <c r="A79" s="23"/>
      <c r="AA79" s="33"/>
      <c r="AC79" s="10"/>
    </row>
    <row r="80" spans="1:29" s="11" customFormat="1" ht="12.5" hidden="1">
      <c r="A80" s="23"/>
      <c r="AA80" s="33"/>
      <c r="AC80" s="10"/>
    </row>
    <row r="81" spans="1:29" s="11" customFormat="1" ht="12.5" hidden="1">
      <c r="A81" s="23"/>
      <c r="AA81" s="33"/>
      <c r="AC81" s="10"/>
    </row>
    <row r="82" spans="1:29" s="11" customFormat="1" ht="12.5" hidden="1">
      <c r="A82" s="23"/>
      <c r="AA82" s="33"/>
      <c r="AC82" s="10"/>
    </row>
    <row r="83" spans="1:29" s="11" customFormat="1" ht="12.5" hidden="1">
      <c r="A83" s="23"/>
      <c r="AA83" s="33"/>
      <c r="AC83" s="10"/>
    </row>
    <row r="84" spans="1:29" s="11" customFormat="1" ht="12.5" hidden="1">
      <c r="A84" s="23"/>
      <c r="AA84" s="33"/>
      <c r="AC84" s="10"/>
    </row>
    <row r="85" spans="1:29" s="11" customFormat="1" ht="12.5" hidden="1">
      <c r="A85" s="23"/>
      <c r="AA85" s="33"/>
      <c r="AC85" s="10"/>
    </row>
    <row r="86" spans="1:29" s="11" customFormat="1" ht="12.5" hidden="1">
      <c r="A86" s="23"/>
      <c r="AA86" s="33"/>
      <c r="AC86" s="10"/>
    </row>
    <row r="87" spans="1:29" s="11" customFormat="1" ht="12.5" hidden="1">
      <c r="A87" s="23"/>
      <c r="AA87" s="33"/>
      <c r="AC87" s="10"/>
    </row>
    <row r="88" spans="1:29" s="11" customFormat="1" ht="12.5" hidden="1">
      <c r="A88" s="23"/>
      <c r="AA88" s="33"/>
      <c r="AC88" s="10"/>
    </row>
    <row r="89" spans="1:29" s="11" customFormat="1" ht="12.5" hidden="1">
      <c r="A89" s="23"/>
      <c r="AA89" s="33"/>
      <c r="AC89" s="10"/>
    </row>
    <row r="90" spans="1:29" s="11" customFormat="1" ht="12.5" hidden="1">
      <c r="A90" s="23"/>
      <c r="AA90" s="33"/>
      <c r="AC90" s="10"/>
    </row>
    <row r="91" spans="1:29" s="11" customFormat="1" ht="12.5" hidden="1">
      <c r="A91" s="23"/>
      <c r="AA91" s="33"/>
      <c r="AC91" s="10"/>
    </row>
    <row r="92" spans="1:29" s="11" customFormat="1" ht="12.5" hidden="1">
      <c r="A92" s="23"/>
      <c r="AA92" s="33"/>
      <c r="AC92" s="10"/>
    </row>
    <row r="93" spans="1:29" s="11" customFormat="1" ht="12.5" hidden="1">
      <c r="A93" s="23"/>
      <c r="AA93" s="33"/>
      <c r="AC93" s="10"/>
    </row>
    <row r="94" spans="1:29" s="11" customFormat="1" ht="12.5" hidden="1">
      <c r="A94" s="23"/>
      <c r="AA94" s="33"/>
      <c r="AC94" s="10"/>
    </row>
    <row r="95" spans="1:29" s="11" customFormat="1" ht="12.5" hidden="1">
      <c r="A95" s="23"/>
      <c r="AA95" s="33"/>
      <c r="AC95" s="10"/>
    </row>
    <row r="96" spans="1:29" s="11" customFormat="1" ht="12.5" hidden="1">
      <c r="A96" s="23"/>
      <c r="AA96" s="33"/>
      <c r="AC96" s="10"/>
    </row>
    <row r="97" spans="1:29" s="11" customFormat="1" ht="12.5" hidden="1">
      <c r="A97" s="23"/>
      <c r="AA97" s="33"/>
      <c r="AC97" s="10"/>
    </row>
    <row r="98" spans="1:29" s="11" customFormat="1" ht="12.5" hidden="1">
      <c r="A98" s="23"/>
      <c r="AA98" s="33"/>
      <c r="AC98" s="10"/>
    </row>
    <row r="99" spans="1:29" s="11" customFormat="1" ht="12.5" hidden="1">
      <c r="A99" s="23"/>
      <c r="AA99" s="33"/>
      <c r="AC99" s="10"/>
    </row>
    <row r="100" spans="1:29" s="11" customFormat="1" ht="12.5" hidden="1">
      <c r="A100" s="23"/>
      <c r="AA100" s="33"/>
      <c r="AC100" s="10"/>
    </row>
    <row r="101" spans="1:29" s="11" customFormat="1" ht="12.5" hidden="1">
      <c r="A101" s="23"/>
      <c r="AA101" s="33"/>
      <c r="AC101" s="10"/>
    </row>
    <row r="102" spans="1:29" s="11" customFormat="1" ht="12.5" hidden="1">
      <c r="A102" s="23"/>
      <c r="AA102" s="33"/>
      <c r="AC102" s="10"/>
    </row>
    <row r="103" spans="1:29" s="11" customFormat="1" ht="12.5" hidden="1">
      <c r="A103" s="23"/>
      <c r="AA103" s="33"/>
      <c r="AC103" s="10"/>
    </row>
    <row r="104" spans="1:29" s="11" customFormat="1" ht="12.5" hidden="1">
      <c r="A104" s="23"/>
      <c r="AA104" s="33"/>
      <c r="AC104" s="10"/>
    </row>
    <row r="105" spans="1:29" s="11" customFormat="1" ht="12.5" hidden="1">
      <c r="A105" s="23"/>
      <c r="AA105" s="33"/>
      <c r="AC105" s="10"/>
    </row>
    <row r="106" spans="1:29" s="11" customFormat="1" ht="12.5" hidden="1">
      <c r="A106" s="23"/>
      <c r="AA106" s="33"/>
      <c r="AC106" s="10"/>
    </row>
    <row r="107" spans="1:29" s="11" customFormat="1" ht="12.5" hidden="1">
      <c r="A107" s="23"/>
      <c r="AA107" s="33"/>
      <c r="AC107" s="10"/>
    </row>
    <row r="108" spans="1:29" s="11" customFormat="1" ht="12.5" hidden="1">
      <c r="A108" s="23"/>
      <c r="AA108" s="33"/>
      <c r="AC108" s="10"/>
    </row>
    <row r="109" spans="1:29" s="11" customFormat="1" ht="12.5" hidden="1">
      <c r="A109" s="23"/>
      <c r="AA109" s="33"/>
      <c r="AC109" s="10"/>
    </row>
    <row r="110" spans="1:29" s="11" customFormat="1" ht="12.5" hidden="1">
      <c r="A110" s="23"/>
      <c r="AA110" s="33"/>
      <c r="AC110" s="10"/>
    </row>
    <row r="111" spans="1:29" s="11" customFormat="1" ht="12.5" hidden="1">
      <c r="A111" s="23"/>
      <c r="AA111" s="33"/>
      <c r="AC111" s="10"/>
    </row>
    <row r="112" spans="1:29" s="11" customFormat="1" ht="12.5" hidden="1">
      <c r="A112" s="23"/>
      <c r="AA112" s="33"/>
      <c r="AC112" s="10"/>
    </row>
    <row r="113" spans="1:29" s="11" customFormat="1" ht="12.5" hidden="1">
      <c r="A113" s="23"/>
      <c r="AA113" s="33"/>
      <c r="AC113" s="10"/>
    </row>
    <row r="114" spans="1:29" s="11" customFormat="1" ht="12.5" hidden="1">
      <c r="A114" s="23"/>
      <c r="AA114" s="33"/>
      <c r="AC114" s="10"/>
    </row>
    <row r="115" spans="1:29" s="11" customFormat="1" ht="12.5" hidden="1">
      <c r="A115" s="23"/>
      <c r="AA115" s="33"/>
      <c r="AC115" s="10"/>
    </row>
    <row r="116" spans="1:29" s="11" customFormat="1" ht="12.5" hidden="1">
      <c r="A116" s="23"/>
      <c r="AA116" s="33"/>
      <c r="AC116" s="10"/>
    </row>
    <row r="117" spans="1:29" s="11" customFormat="1" ht="12.5" hidden="1">
      <c r="A117" s="23"/>
      <c r="AA117" s="33"/>
      <c r="AC117" s="10"/>
    </row>
    <row r="118" spans="1:29" s="11" customFormat="1" ht="12.5" hidden="1">
      <c r="A118" s="23"/>
      <c r="AA118" s="33"/>
      <c r="AC118" s="10"/>
    </row>
    <row r="119" spans="1:29" s="11" customFormat="1" ht="12.5" hidden="1">
      <c r="A119" s="23"/>
      <c r="AA119" s="33"/>
      <c r="AC119" s="10"/>
    </row>
    <row r="120" spans="1:29" s="11" customFormat="1" ht="12.5" hidden="1">
      <c r="A120" s="23"/>
      <c r="AA120" s="33"/>
      <c r="AC120" s="10"/>
    </row>
    <row r="121" spans="1:29" s="11" customFormat="1" ht="12.5" hidden="1">
      <c r="A121" s="23"/>
      <c r="AA121" s="33"/>
      <c r="AC121" s="10"/>
    </row>
    <row r="122" spans="1:29" s="11" customFormat="1" ht="12.5" hidden="1">
      <c r="A122" s="23"/>
      <c r="AA122" s="33"/>
      <c r="AC122" s="10"/>
    </row>
    <row r="123" spans="1:29" s="11" customFormat="1" ht="12.5" hidden="1">
      <c r="A123" s="23"/>
      <c r="AA123" s="33"/>
      <c r="AC123" s="10"/>
    </row>
    <row r="124" spans="1:29" s="11" customFormat="1" ht="12.5" hidden="1">
      <c r="A124" s="23"/>
      <c r="AA124" s="33"/>
      <c r="AC124" s="10"/>
    </row>
    <row r="125" spans="1:29" s="11" customFormat="1" ht="12.5" hidden="1">
      <c r="A125" s="23"/>
      <c r="AA125" s="33"/>
      <c r="AC125" s="10"/>
    </row>
    <row r="126" spans="1:29" s="11" customFormat="1" ht="12.5" hidden="1">
      <c r="A126" s="23"/>
      <c r="AA126" s="33"/>
      <c r="AC126" s="10"/>
    </row>
    <row r="127" spans="1:29" s="11" customFormat="1" ht="12.5" hidden="1">
      <c r="A127" s="23"/>
      <c r="AA127" s="33"/>
      <c r="AC127" s="10"/>
    </row>
    <row r="128" spans="1:29" s="11" customFormat="1" ht="12.5" hidden="1">
      <c r="A128" s="23"/>
      <c r="AA128" s="33"/>
      <c r="AC128" s="10"/>
    </row>
    <row r="129" spans="1:29" s="11" customFormat="1" ht="12.5" hidden="1">
      <c r="A129" s="23"/>
      <c r="AA129" s="33"/>
      <c r="AC129" s="10"/>
    </row>
    <row r="130" spans="1:29" s="11" customFormat="1" ht="12.5" hidden="1">
      <c r="A130" s="23"/>
      <c r="AA130" s="33"/>
      <c r="AC130" s="10"/>
    </row>
    <row r="131" spans="1:29" s="11" customFormat="1" ht="12.5" hidden="1">
      <c r="A131" s="23"/>
      <c r="AA131" s="33"/>
      <c r="AC131" s="10"/>
    </row>
    <row r="132" spans="1:29" s="11" customFormat="1" ht="12.5" hidden="1">
      <c r="A132" s="23"/>
      <c r="AA132" s="33"/>
      <c r="AC132" s="10"/>
    </row>
    <row r="133" spans="1:29" s="11" customFormat="1" ht="12.5" hidden="1">
      <c r="A133" s="23"/>
      <c r="AA133" s="33"/>
      <c r="AC133" s="10"/>
    </row>
    <row r="134" spans="1:29" s="11" customFormat="1" ht="12.5" hidden="1">
      <c r="A134" s="23"/>
      <c r="AA134" s="33"/>
      <c r="AC134" s="10"/>
    </row>
    <row r="135" spans="1:29" s="11" customFormat="1" ht="12.5" hidden="1">
      <c r="A135" s="23"/>
      <c r="AA135" s="33"/>
      <c r="AC135" s="10"/>
    </row>
    <row r="136" spans="1:29" s="11" customFormat="1" ht="12.5" hidden="1">
      <c r="A136" s="23"/>
      <c r="AA136" s="33"/>
      <c r="AC136" s="10"/>
    </row>
    <row r="137" spans="1:29" s="11" customFormat="1" ht="12.5" hidden="1">
      <c r="A137" s="23"/>
      <c r="AA137" s="33"/>
      <c r="AC137" s="10"/>
    </row>
    <row r="138" spans="1:29" s="11" customFormat="1" ht="12.5" hidden="1">
      <c r="A138" s="23"/>
      <c r="AA138" s="33"/>
      <c r="AC138" s="10"/>
    </row>
    <row r="139" spans="1:29" s="11" customFormat="1" ht="12.5" hidden="1">
      <c r="A139" s="23"/>
      <c r="AA139" s="33"/>
      <c r="AC139" s="10"/>
    </row>
    <row r="140" spans="1:29" s="11" customFormat="1" ht="12.5" hidden="1">
      <c r="A140" s="23"/>
      <c r="AA140" s="33"/>
      <c r="AC140" s="10"/>
    </row>
    <row r="141" spans="1:29" s="11" customFormat="1" ht="12.5" hidden="1">
      <c r="A141" s="23"/>
      <c r="AA141" s="33"/>
      <c r="AC141" s="10"/>
    </row>
    <row r="142" spans="1:29" s="11" customFormat="1" ht="12.5" hidden="1">
      <c r="A142" s="23"/>
      <c r="AA142" s="33"/>
      <c r="AC142" s="10"/>
    </row>
    <row r="143" spans="1:29" s="11" customFormat="1" ht="12.5" hidden="1">
      <c r="A143" s="23"/>
      <c r="AA143" s="33"/>
      <c r="AC143" s="10"/>
    </row>
    <row r="144" spans="1:29" s="11" customFormat="1" ht="12.5" hidden="1">
      <c r="A144" s="23"/>
      <c r="AA144" s="33"/>
      <c r="AC144" s="10"/>
    </row>
    <row r="145" spans="1:29" s="11" customFormat="1" ht="12.5" hidden="1">
      <c r="A145" s="23"/>
      <c r="AA145" s="33"/>
      <c r="AC145" s="10"/>
    </row>
    <row r="146" spans="1:29" s="11" customFormat="1" ht="12.5" hidden="1">
      <c r="A146" s="23"/>
      <c r="AA146" s="33"/>
      <c r="AC146" s="10"/>
    </row>
    <row r="147" spans="1:29" s="11" customFormat="1" ht="12.5" hidden="1">
      <c r="A147" s="23"/>
      <c r="AA147" s="33"/>
      <c r="AC147" s="10"/>
    </row>
    <row r="148" spans="1:29" s="11" customFormat="1" ht="12.5" hidden="1">
      <c r="A148" s="23"/>
      <c r="AA148" s="33"/>
      <c r="AC148" s="10"/>
    </row>
    <row r="149" spans="1:29" s="11" customFormat="1" ht="12.5" hidden="1">
      <c r="A149" s="23"/>
      <c r="AA149" s="33"/>
      <c r="AC149" s="10"/>
    </row>
    <row r="150" spans="1:29" s="11" customFormat="1" ht="12.5" hidden="1">
      <c r="A150" s="23"/>
      <c r="AA150" s="33"/>
      <c r="AC150" s="10"/>
    </row>
    <row r="151" spans="1:29" s="11" customFormat="1" ht="12.5" hidden="1">
      <c r="A151" s="23"/>
      <c r="AA151" s="33"/>
      <c r="AC151" s="10"/>
    </row>
    <row r="152" spans="1:29" s="11" customFormat="1" ht="12.5" hidden="1">
      <c r="A152" s="23"/>
      <c r="AA152" s="33"/>
      <c r="AC152" s="10"/>
    </row>
    <row r="153" spans="1:29" s="11" customFormat="1" ht="12.5" hidden="1">
      <c r="A153" s="23"/>
      <c r="AA153" s="33"/>
      <c r="AC153" s="10"/>
    </row>
    <row r="154" spans="1:29" s="11" customFormat="1" ht="12.5" hidden="1">
      <c r="A154" s="23"/>
      <c r="AA154" s="33"/>
      <c r="AC154" s="10"/>
    </row>
    <row r="155" spans="1:29" s="11" customFormat="1" ht="12.5" hidden="1">
      <c r="A155" s="23"/>
      <c r="AA155" s="33"/>
      <c r="AC155" s="10"/>
    </row>
    <row r="156" spans="1:29" s="11" customFormat="1" ht="12.5" hidden="1">
      <c r="A156" s="23"/>
      <c r="AA156" s="33"/>
      <c r="AC156" s="10"/>
    </row>
    <row r="157" spans="1:29" s="11" customFormat="1" ht="12.5" hidden="1">
      <c r="A157" s="23"/>
      <c r="AA157" s="33"/>
      <c r="AC157" s="10"/>
    </row>
    <row r="158" spans="1:29" s="11" customFormat="1" ht="12.5" hidden="1">
      <c r="A158" s="23"/>
      <c r="AA158" s="33"/>
      <c r="AC158" s="10"/>
    </row>
    <row r="159" spans="1:29" s="11" customFormat="1" ht="12.5" hidden="1">
      <c r="A159" s="23"/>
      <c r="AA159" s="33"/>
      <c r="AC159" s="10"/>
    </row>
    <row r="160" spans="1:29" s="11" customFormat="1" ht="12.5" hidden="1">
      <c r="A160" s="23"/>
      <c r="AA160" s="33"/>
      <c r="AC160" s="10"/>
    </row>
    <row r="161" spans="1:29" s="11" customFormat="1" ht="12.5" hidden="1">
      <c r="A161" s="23"/>
      <c r="AA161" s="33"/>
      <c r="AC161" s="10"/>
    </row>
    <row r="162" spans="1:29" s="11" customFormat="1" ht="12.5" hidden="1">
      <c r="A162" s="23"/>
      <c r="AA162" s="33"/>
      <c r="AC162" s="10"/>
    </row>
    <row r="163" spans="1:29" s="11" customFormat="1" ht="12.5" hidden="1">
      <c r="A163" s="23"/>
      <c r="AA163" s="33"/>
      <c r="AC163" s="10"/>
    </row>
    <row r="164" spans="1:29" s="11" customFormat="1" ht="12.5" hidden="1">
      <c r="A164" s="23"/>
      <c r="AA164" s="33"/>
      <c r="AC164" s="10"/>
    </row>
    <row r="165" spans="1:29" s="11" customFormat="1" ht="12.5" hidden="1">
      <c r="A165" s="23"/>
      <c r="AA165" s="33"/>
      <c r="AC165" s="10"/>
    </row>
    <row r="166" spans="1:29" s="11" customFormat="1" ht="12.5" hidden="1">
      <c r="A166" s="23"/>
      <c r="AA166" s="33"/>
      <c r="AC166" s="10"/>
    </row>
    <row r="167" spans="1:29" s="11" customFormat="1" ht="12.5" hidden="1">
      <c r="A167" s="23"/>
      <c r="AA167" s="33"/>
      <c r="AC167" s="10"/>
    </row>
    <row r="168" spans="1:29" s="11" customFormat="1" ht="12.5" hidden="1">
      <c r="A168" s="23"/>
      <c r="AA168" s="33"/>
      <c r="AC168" s="10"/>
    </row>
    <row r="169" spans="1:29" s="11" customFormat="1" ht="12.5" hidden="1">
      <c r="A169" s="23"/>
      <c r="AA169" s="33"/>
      <c r="AC169" s="10"/>
    </row>
    <row r="170" spans="1:29" s="11" customFormat="1" ht="12.5" hidden="1">
      <c r="A170" s="23"/>
      <c r="AA170" s="33"/>
      <c r="AC170" s="10"/>
    </row>
    <row r="171" spans="1:29" s="11" customFormat="1" ht="12.5" hidden="1">
      <c r="A171" s="23"/>
      <c r="AA171" s="33"/>
      <c r="AC171" s="10"/>
    </row>
    <row r="172" spans="1:29" s="11" customFormat="1" ht="12.5" hidden="1">
      <c r="A172" s="23"/>
      <c r="AA172" s="33"/>
      <c r="AC172" s="10"/>
    </row>
    <row r="173" spans="1:29" s="11" customFormat="1" ht="12.5" hidden="1">
      <c r="A173" s="23"/>
      <c r="AA173" s="33"/>
      <c r="AC173" s="10"/>
    </row>
    <row r="174" spans="1:29" s="11" customFormat="1" ht="12.5" hidden="1">
      <c r="A174" s="23"/>
      <c r="AA174" s="33"/>
      <c r="AC174" s="10"/>
    </row>
    <row r="175" spans="1:29" s="11" customFormat="1" ht="12.5" hidden="1">
      <c r="A175" s="23"/>
      <c r="AA175" s="33"/>
      <c r="AC175" s="10"/>
    </row>
    <row r="176" spans="1:29" s="11" customFormat="1" ht="12.5" hidden="1">
      <c r="A176" s="23"/>
      <c r="AA176" s="33"/>
      <c r="AC176" s="10"/>
    </row>
    <row r="177" spans="1:29" s="11" customFormat="1" ht="12.5" hidden="1">
      <c r="A177" s="23"/>
      <c r="AA177" s="33"/>
      <c r="AC177" s="10"/>
    </row>
    <row r="178" spans="1:29" s="11" customFormat="1" ht="12.5" hidden="1">
      <c r="A178" s="23"/>
      <c r="AA178" s="33"/>
      <c r="AC178" s="10"/>
    </row>
    <row r="179" spans="1:29" s="11" customFormat="1" ht="12.5" hidden="1">
      <c r="A179" s="23"/>
      <c r="AA179" s="33"/>
      <c r="AC179" s="10"/>
    </row>
    <row r="180" spans="1:29" s="11" customFormat="1" ht="12.5" hidden="1">
      <c r="A180" s="23"/>
      <c r="AA180" s="33"/>
      <c r="AC180" s="10"/>
    </row>
    <row r="181" spans="1:29" s="11" customFormat="1" ht="12.5" hidden="1">
      <c r="A181" s="23"/>
      <c r="AA181" s="33"/>
      <c r="AC181" s="10"/>
    </row>
    <row r="182" spans="1:29" s="11" customFormat="1" ht="12.5" hidden="1">
      <c r="A182" s="23"/>
      <c r="AA182" s="33"/>
      <c r="AC182" s="10"/>
    </row>
    <row r="183" spans="1:29" s="11" customFormat="1" ht="12.5" hidden="1">
      <c r="A183" s="23"/>
      <c r="AA183" s="33"/>
      <c r="AC183" s="10"/>
    </row>
    <row r="184" spans="1:29" s="11" customFormat="1" ht="12.5" hidden="1">
      <c r="A184" s="23"/>
      <c r="AA184" s="33"/>
      <c r="AC184" s="10"/>
    </row>
    <row r="185" spans="1:29" s="11" customFormat="1" ht="12.5" hidden="1">
      <c r="A185" s="23"/>
      <c r="AA185" s="33"/>
      <c r="AC185" s="10"/>
    </row>
    <row r="186" spans="1:29" s="11" customFormat="1" ht="12.5" hidden="1">
      <c r="A186" s="23"/>
      <c r="AA186" s="33"/>
      <c r="AC186" s="10"/>
    </row>
    <row r="187" spans="1:29" s="11" customFormat="1" ht="12.5" hidden="1">
      <c r="A187" s="23"/>
      <c r="AA187" s="33"/>
      <c r="AC187" s="10"/>
    </row>
    <row r="188" spans="1:29" s="11" customFormat="1" ht="12.5" hidden="1">
      <c r="A188" s="23"/>
      <c r="AA188" s="33"/>
      <c r="AC188" s="10"/>
    </row>
    <row r="189" spans="1:29" s="11" customFormat="1" ht="12.5" hidden="1">
      <c r="A189" s="23"/>
      <c r="AA189" s="33"/>
      <c r="AC189" s="10"/>
    </row>
    <row r="190" spans="1:29" s="11" customFormat="1" ht="12.5" hidden="1">
      <c r="A190" s="23"/>
      <c r="AA190" s="33"/>
      <c r="AC190" s="10"/>
    </row>
    <row r="191" spans="1:29" s="11" customFormat="1" ht="12.5" hidden="1">
      <c r="A191" s="23"/>
      <c r="AA191" s="33"/>
      <c r="AC191" s="10"/>
    </row>
    <row r="192" spans="1:29" s="11" customFormat="1" ht="12.5" hidden="1">
      <c r="A192" s="23"/>
      <c r="AA192" s="33"/>
      <c r="AC192" s="10"/>
    </row>
    <row r="193" spans="1:29" s="11" customFormat="1" ht="12.5" hidden="1">
      <c r="A193" s="23"/>
      <c r="AA193" s="33"/>
      <c r="AC193" s="10"/>
    </row>
    <row r="194" spans="1:29" s="11" customFormat="1" ht="12.5" hidden="1">
      <c r="A194" s="23"/>
      <c r="AA194" s="33"/>
      <c r="AC194" s="10"/>
    </row>
    <row r="195" spans="1:29" s="11" customFormat="1" ht="12.5" hidden="1">
      <c r="A195" s="23"/>
      <c r="AA195" s="33"/>
      <c r="AC195" s="10"/>
    </row>
    <row r="196" spans="1:29" s="11" customFormat="1" ht="12.5" hidden="1">
      <c r="A196" s="23"/>
      <c r="AA196" s="33"/>
      <c r="AC196" s="10"/>
    </row>
    <row r="197" spans="1:29" s="11" customFormat="1" ht="12.5" hidden="1">
      <c r="A197" s="23"/>
      <c r="AA197" s="33"/>
      <c r="AC197" s="10"/>
    </row>
    <row r="198" spans="1:29" s="11" customFormat="1" ht="12.5" hidden="1">
      <c r="A198" s="23"/>
      <c r="AA198" s="33"/>
      <c r="AC198" s="10"/>
    </row>
    <row r="199" spans="1:29" s="11" customFormat="1" ht="12.5" hidden="1">
      <c r="A199" s="23"/>
      <c r="AA199" s="33"/>
      <c r="AC199" s="10"/>
    </row>
    <row r="200" spans="1:29" s="11" customFormat="1" ht="12.5" hidden="1">
      <c r="A200" s="23"/>
      <c r="AA200" s="33"/>
      <c r="AC200" s="10"/>
    </row>
    <row r="201" spans="1:29" s="11" customFormat="1" ht="12.5" hidden="1">
      <c r="A201" s="23"/>
      <c r="AA201" s="33"/>
      <c r="AC201" s="10"/>
    </row>
    <row r="202" spans="1:29" s="11" customFormat="1" ht="12.5" hidden="1">
      <c r="A202" s="23"/>
      <c r="AA202" s="33"/>
      <c r="AC202" s="10"/>
    </row>
    <row r="203" spans="1:29" s="11" customFormat="1" ht="12.5" hidden="1">
      <c r="A203" s="23"/>
      <c r="AA203" s="33"/>
      <c r="AC203" s="10"/>
    </row>
    <row r="204" spans="1:29" s="11" customFormat="1" ht="12.5" hidden="1">
      <c r="A204" s="23"/>
      <c r="AA204" s="33"/>
      <c r="AC204" s="10"/>
    </row>
    <row r="205" spans="1:29" s="11" customFormat="1" ht="12.5" hidden="1">
      <c r="A205" s="23"/>
      <c r="AA205" s="33"/>
      <c r="AC205" s="10"/>
    </row>
    <row r="206" spans="1:29" s="11" customFormat="1" ht="12.5" hidden="1">
      <c r="A206" s="23"/>
      <c r="AA206" s="33"/>
      <c r="AC206" s="10"/>
    </row>
    <row r="207" spans="1:29" s="11" customFormat="1" ht="12.5" hidden="1">
      <c r="A207" s="23"/>
      <c r="AA207" s="33"/>
      <c r="AC207" s="10"/>
    </row>
    <row r="208" spans="1:29" s="11" customFormat="1" ht="12.5" hidden="1">
      <c r="A208" s="23"/>
      <c r="AA208" s="33"/>
      <c r="AC208" s="10"/>
    </row>
    <row r="209" spans="1:29" s="11" customFormat="1" ht="12.5" hidden="1">
      <c r="A209" s="23"/>
      <c r="AA209" s="33"/>
      <c r="AC209" s="10"/>
    </row>
    <row r="210" spans="1:29" s="11" customFormat="1" ht="12.5" hidden="1">
      <c r="A210" s="23"/>
      <c r="AA210" s="33"/>
      <c r="AC210" s="10"/>
    </row>
    <row r="211" spans="1:29" s="11" customFormat="1" ht="12.5" hidden="1">
      <c r="A211" s="23"/>
      <c r="AA211" s="33"/>
      <c r="AC211" s="10"/>
    </row>
    <row r="212" spans="1:29" s="11" customFormat="1" ht="12.5" hidden="1">
      <c r="A212" s="23"/>
      <c r="AA212" s="33"/>
      <c r="AC212" s="10"/>
    </row>
    <row r="213" spans="1:29" s="11" customFormat="1" ht="12.5" hidden="1">
      <c r="A213" s="23"/>
      <c r="AA213" s="33"/>
      <c r="AC213" s="10"/>
    </row>
    <row r="214" spans="1:29" s="11" customFormat="1" ht="12.5" hidden="1">
      <c r="A214" s="23"/>
      <c r="AA214" s="33"/>
      <c r="AC214" s="10"/>
    </row>
    <row r="215" spans="1:29" s="11" customFormat="1" ht="12.5" hidden="1">
      <c r="A215" s="23"/>
      <c r="AA215" s="33"/>
      <c r="AC215" s="10"/>
    </row>
    <row r="216" spans="1:29" s="11" customFormat="1" ht="12.5" hidden="1">
      <c r="A216" s="23"/>
      <c r="AA216" s="33"/>
      <c r="AC216" s="10"/>
    </row>
    <row r="217" spans="1:29" s="11" customFormat="1" ht="12.5" hidden="1">
      <c r="A217" s="23"/>
      <c r="AA217" s="33"/>
      <c r="AC217" s="10"/>
    </row>
    <row r="218" spans="1:29" s="11" customFormat="1" ht="12.5" hidden="1">
      <c r="A218" s="23"/>
      <c r="AA218" s="33"/>
      <c r="AC218" s="10"/>
    </row>
    <row r="219" spans="1:29" s="11" customFormat="1" ht="12.5" hidden="1">
      <c r="A219" s="23"/>
      <c r="AA219" s="33"/>
      <c r="AC219" s="10"/>
    </row>
    <row r="220" spans="1:29" s="11" customFormat="1" ht="12.5" hidden="1">
      <c r="A220" s="23"/>
      <c r="AA220" s="33"/>
      <c r="AC220" s="10"/>
    </row>
    <row r="221" spans="1:29" s="11" customFormat="1" ht="12.5" hidden="1">
      <c r="A221" s="23"/>
      <c r="AA221" s="33"/>
      <c r="AC221" s="10"/>
    </row>
    <row r="222" spans="1:29" s="11" customFormat="1" ht="12.5" hidden="1">
      <c r="A222" s="23"/>
      <c r="AA222" s="33"/>
      <c r="AC222" s="10"/>
    </row>
    <row r="223" spans="1:29" s="11" customFormat="1" ht="12.5" hidden="1">
      <c r="A223" s="23"/>
      <c r="AA223" s="33"/>
      <c r="AC223" s="10"/>
    </row>
    <row r="224" spans="1:29" s="11" customFormat="1" ht="12.5" hidden="1">
      <c r="A224" s="23"/>
      <c r="AA224" s="33"/>
      <c r="AC224" s="10"/>
    </row>
    <row r="225" spans="1:29" s="11" customFormat="1" ht="12.5" hidden="1">
      <c r="A225" s="23"/>
      <c r="AA225" s="33"/>
      <c r="AC225" s="10"/>
    </row>
    <row r="226" spans="1:29" s="11" customFormat="1" ht="12.5" hidden="1">
      <c r="A226" s="23"/>
      <c r="AA226" s="33"/>
      <c r="AC226" s="10"/>
    </row>
    <row r="227" spans="1:29" s="11" customFormat="1" ht="12.5" hidden="1">
      <c r="A227" s="23"/>
      <c r="AA227" s="33"/>
      <c r="AC227" s="10"/>
    </row>
    <row r="228" spans="1:29" s="11" customFormat="1" ht="12.5" hidden="1">
      <c r="A228" s="23"/>
      <c r="AA228" s="33"/>
      <c r="AC228" s="10"/>
    </row>
    <row r="229" spans="1:29" s="11" customFormat="1" ht="12.5" hidden="1">
      <c r="A229" s="23"/>
      <c r="AA229" s="33"/>
      <c r="AC229" s="10"/>
    </row>
    <row r="230" spans="1:29" s="11" customFormat="1" ht="12.5" hidden="1">
      <c r="A230" s="23"/>
      <c r="AA230" s="33"/>
      <c r="AC230" s="10"/>
    </row>
    <row r="231" spans="1:29" s="11" customFormat="1" ht="12.5" hidden="1">
      <c r="A231" s="23"/>
      <c r="AA231" s="33"/>
      <c r="AC231" s="10"/>
    </row>
    <row r="232" spans="1:29" s="11" customFormat="1" ht="12.5" hidden="1">
      <c r="A232" s="23"/>
      <c r="AA232" s="33"/>
      <c r="AC232" s="10"/>
    </row>
    <row r="233" spans="1:29" s="11" customFormat="1" ht="12.5" hidden="1">
      <c r="A233" s="23"/>
      <c r="AA233" s="33"/>
      <c r="AC233" s="10"/>
    </row>
    <row r="234" spans="1:29" s="11" customFormat="1" ht="12.5" hidden="1">
      <c r="A234" s="23"/>
      <c r="AA234" s="33"/>
      <c r="AC234" s="10"/>
    </row>
    <row r="235" spans="1:29" s="11" customFormat="1" ht="12.5" hidden="1">
      <c r="A235" s="23"/>
      <c r="AA235" s="33"/>
      <c r="AC235" s="10"/>
    </row>
    <row r="236" spans="1:29" s="11" customFormat="1" ht="12.5" hidden="1">
      <c r="A236" s="23"/>
      <c r="AA236" s="33"/>
      <c r="AC236" s="10"/>
    </row>
    <row r="237" spans="1:29" s="11" customFormat="1" ht="12.5" hidden="1">
      <c r="A237" s="23"/>
      <c r="AA237" s="33"/>
      <c r="AC237" s="10"/>
    </row>
    <row r="238" spans="1:29" s="11" customFormat="1" ht="12.5" hidden="1">
      <c r="A238" s="23"/>
      <c r="AA238" s="33"/>
      <c r="AC238" s="10"/>
    </row>
    <row r="239" spans="1:29" s="11" customFormat="1" ht="12.5" hidden="1">
      <c r="A239" s="23"/>
      <c r="AA239" s="33"/>
      <c r="AC239" s="10"/>
    </row>
    <row r="240" spans="1:29" s="11" customFormat="1" ht="12.5" hidden="1">
      <c r="A240" s="23"/>
      <c r="AA240" s="33"/>
      <c r="AC240" s="10"/>
    </row>
    <row r="241" spans="1:29" s="11" customFormat="1" ht="12.5" hidden="1">
      <c r="A241" s="23"/>
      <c r="AA241" s="33"/>
      <c r="AC241" s="10"/>
    </row>
    <row r="242" spans="1:29" s="11" customFormat="1" ht="12.5" hidden="1">
      <c r="A242" s="23"/>
      <c r="AA242" s="33"/>
      <c r="AC242" s="10"/>
    </row>
    <row r="243" spans="1:29" s="11" customFormat="1" ht="12.5" hidden="1">
      <c r="A243" s="23"/>
      <c r="AA243" s="33"/>
      <c r="AC243" s="10"/>
    </row>
    <row r="244" spans="1:29" s="11" customFormat="1" ht="12.5" hidden="1">
      <c r="A244" s="23"/>
      <c r="AA244" s="33"/>
      <c r="AC244" s="10"/>
    </row>
    <row r="245" spans="1:29" s="11" customFormat="1" ht="12.5" hidden="1">
      <c r="A245" s="23"/>
      <c r="AA245" s="33"/>
      <c r="AC245" s="10"/>
    </row>
    <row r="246" spans="1:29" s="11" customFormat="1" ht="12.5" hidden="1">
      <c r="A246" s="23"/>
      <c r="AA246" s="33"/>
      <c r="AC246" s="10"/>
    </row>
    <row r="247" spans="1:29" s="11" customFormat="1" ht="12.5" hidden="1">
      <c r="A247" s="23"/>
      <c r="AA247" s="33"/>
      <c r="AC247" s="10"/>
    </row>
    <row r="248" spans="1:29" s="11" customFormat="1" ht="12.5" hidden="1">
      <c r="A248" s="23"/>
      <c r="AA248" s="33"/>
      <c r="AC248" s="10"/>
    </row>
    <row r="249" spans="1:29" s="11" customFormat="1" ht="12.5" hidden="1">
      <c r="A249" s="23"/>
      <c r="AA249" s="33"/>
      <c r="AC249" s="10"/>
    </row>
    <row r="250" spans="1:29" s="11" customFormat="1" ht="12.5" hidden="1">
      <c r="A250" s="23"/>
      <c r="AA250" s="33"/>
      <c r="AC250" s="10"/>
    </row>
    <row r="251" spans="1:29" s="11" customFormat="1" ht="12.5" hidden="1">
      <c r="A251" s="23"/>
      <c r="AA251" s="33"/>
      <c r="AC251" s="10"/>
    </row>
    <row r="252" spans="1:29" s="11" customFormat="1" ht="12.5" hidden="1">
      <c r="A252" s="23"/>
      <c r="AA252" s="33"/>
      <c r="AC252" s="10"/>
    </row>
    <row r="253" spans="1:29" s="11" customFormat="1" ht="12.5" hidden="1">
      <c r="A253" s="23"/>
      <c r="AA253" s="33"/>
      <c r="AC253" s="10"/>
    </row>
    <row r="254" spans="1:29" s="11" customFormat="1" ht="12.5" hidden="1">
      <c r="A254" s="23"/>
      <c r="AA254" s="33"/>
      <c r="AC254" s="10"/>
    </row>
    <row r="255" spans="1:29" s="11" customFormat="1" ht="12.5" hidden="1">
      <c r="A255" s="23"/>
      <c r="AA255" s="33"/>
      <c r="AC255" s="10"/>
    </row>
    <row r="256" spans="1:29" s="11" customFormat="1" ht="12.5" hidden="1">
      <c r="A256" s="23"/>
      <c r="AA256" s="33"/>
      <c r="AC256" s="10"/>
    </row>
    <row r="257" spans="1:29" s="11" customFormat="1" ht="12.5" hidden="1">
      <c r="A257" s="23"/>
      <c r="AA257" s="33"/>
      <c r="AC257" s="10"/>
    </row>
    <row r="258" spans="1:29" s="11" customFormat="1" ht="12.5" hidden="1">
      <c r="A258" s="23"/>
      <c r="AA258" s="33"/>
      <c r="AC258" s="10"/>
    </row>
    <row r="259" spans="1:29" s="11" customFormat="1" ht="12.5" hidden="1">
      <c r="A259" s="23"/>
      <c r="AA259" s="33"/>
      <c r="AC259" s="10"/>
    </row>
    <row r="260" spans="1:29" s="11" customFormat="1" ht="12.5" hidden="1">
      <c r="A260" s="23"/>
      <c r="AA260" s="33"/>
      <c r="AC260" s="10"/>
    </row>
    <row r="261" spans="1:29" s="11" customFormat="1" ht="12.5" hidden="1">
      <c r="A261" s="23"/>
      <c r="AA261" s="33"/>
      <c r="AC261" s="10"/>
    </row>
    <row r="262" spans="1:29" s="11" customFormat="1" ht="12.5" hidden="1">
      <c r="A262" s="23"/>
      <c r="AA262" s="33"/>
      <c r="AC262" s="10"/>
    </row>
    <row r="263" spans="1:29" s="11" customFormat="1" ht="12.5" hidden="1">
      <c r="A263" s="23"/>
      <c r="AA263" s="33"/>
      <c r="AC263" s="10"/>
    </row>
    <row r="264" spans="1:29" s="11" customFormat="1" ht="12.5" hidden="1">
      <c r="A264" s="23"/>
      <c r="AA264" s="33"/>
      <c r="AC264" s="10"/>
    </row>
    <row r="265" spans="1:29" s="11" customFormat="1" ht="12.5" hidden="1">
      <c r="A265" s="23"/>
      <c r="AA265" s="33"/>
      <c r="AC265" s="10"/>
    </row>
    <row r="266" spans="1:29" s="11" customFormat="1" ht="12.5" hidden="1">
      <c r="A266" s="23"/>
      <c r="AA266" s="33"/>
      <c r="AC266" s="10"/>
    </row>
    <row r="267" spans="1:29" s="11" customFormat="1" ht="12.5" hidden="1">
      <c r="A267" s="23"/>
      <c r="AA267" s="33"/>
      <c r="AC267" s="10"/>
    </row>
    <row r="268" spans="1:29" s="11" customFormat="1" ht="12.5" hidden="1">
      <c r="A268" s="23"/>
      <c r="AA268" s="33"/>
      <c r="AC268" s="10"/>
    </row>
    <row r="269" spans="1:29" s="11" customFormat="1" ht="12.5" hidden="1">
      <c r="A269" s="23"/>
      <c r="AA269" s="33"/>
      <c r="AC269" s="10"/>
    </row>
    <row r="270" spans="1:29" s="11" customFormat="1" ht="12.5" hidden="1">
      <c r="A270" s="23"/>
      <c r="AA270" s="33"/>
      <c r="AC270" s="10"/>
    </row>
    <row r="271" spans="1:29" s="11" customFormat="1" ht="12.5" hidden="1">
      <c r="A271" s="23"/>
      <c r="AA271" s="33"/>
      <c r="AC271" s="10"/>
    </row>
    <row r="272" spans="1:29" s="11" customFormat="1" ht="12.5" hidden="1">
      <c r="A272" s="23"/>
      <c r="AA272" s="33"/>
      <c r="AC272" s="10"/>
    </row>
    <row r="273" spans="1:29" s="11" customFormat="1" ht="12.5" hidden="1">
      <c r="A273" s="23"/>
      <c r="AA273" s="33"/>
      <c r="AC273" s="10"/>
    </row>
    <row r="274" spans="1:29" s="11" customFormat="1" ht="12.5" hidden="1">
      <c r="A274" s="23"/>
      <c r="AA274" s="33"/>
      <c r="AC274" s="10"/>
    </row>
    <row r="275" spans="1:29" s="11" customFormat="1" ht="12.5" hidden="1">
      <c r="A275" s="23"/>
      <c r="AA275" s="33"/>
      <c r="AC275" s="10"/>
    </row>
    <row r="276" spans="1:29" s="11" customFormat="1" ht="12.5" hidden="1">
      <c r="A276" s="23"/>
      <c r="AA276" s="33"/>
      <c r="AC276" s="10"/>
    </row>
    <row r="277" spans="1:29" s="11" customFormat="1" ht="12.5" hidden="1">
      <c r="A277" s="23"/>
      <c r="AA277" s="33"/>
      <c r="AC277" s="10"/>
    </row>
    <row r="278" spans="1:29" s="11" customFormat="1" ht="12.5" hidden="1">
      <c r="A278" s="23"/>
      <c r="AA278" s="33"/>
      <c r="AC278" s="10"/>
    </row>
    <row r="279" spans="1:29" s="11" customFormat="1" ht="12.5" hidden="1">
      <c r="A279" s="23"/>
      <c r="AA279" s="33"/>
      <c r="AC279" s="10"/>
    </row>
    <row r="280" spans="1:29" s="11" customFormat="1" ht="12.5" hidden="1">
      <c r="A280" s="23"/>
      <c r="AA280" s="33"/>
      <c r="AC280" s="10"/>
    </row>
    <row r="281" spans="1:29" s="11" customFormat="1" ht="12.5" hidden="1">
      <c r="A281" s="23"/>
      <c r="AA281" s="33"/>
      <c r="AC281" s="10"/>
    </row>
    <row r="282" spans="1:29" s="11" customFormat="1" ht="12.5" hidden="1">
      <c r="A282" s="23"/>
      <c r="AA282" s="33"/>
      <c r="AC282" s="10"/>
    </row>
    <row r="283" spans="1:29" s="11" customFormat="1" ht="12.5" hidden="1">
      <c r="A283" s="23"/>
      <c r="AA283" s="33"/>
      <c r="AC283" s="10"/>
    </row>
    <row r="284" spans="1:29" s="11" customFormat="1" ht="12.5" hidden="1">
      <c r="A284" s="23"/>
      <c r="AA284" s="33"/>
      <c r="AC284" s="10"/>
    </row>
    <row r="285" spans="1:29" s="11" customFormat="1" ht="12.5" hidden="1">
      <c r="A285" s="23"/>
      <c r="AA285" s="33"/>
      <c r="AC285" s="10"/>
    </row>
    <row r="286" spans="1:29" s="11" customFormat="1" ht="12.5" hidden="1">
      <c r="A286" s="23"/>
      <c r="AA286" s="33"/>
      <c r="AC286" s="10"/>
    </row>
    <row r="287" spans="1:29" s="11" customFormat="1" ht="12.5" hidden="1">
      <c r="A287" s="23"/>
      <c r="AA287" s="33"/>
      <c r="AC287" s="10"/>
    </row>
    <row r="288" spans="1:29" s="11" customFormat="1" ht="12.5" hidden="1">
      <c r="A288" s="23"/>
      <c r="AA288" s="33"/>
      <c r="AC288" s="10"/>
    </row>
    <row r="289" spans="1:29" s="11" customFormat="1" ht="12.5" hidden="1">
      <c r="A289" s="23"/>
      <c r="AA289" s="33"/>
      <c r="AC289" s="10"/>
    </row>
    <row r="290" spans="1:29" s="11" customFormat="1" ht="12.5" hidden="1">
      <c r="A290" s="23"/>
      <c r="AA290" s="33"/>
      <c r="AC290" s="10"/>
    </row>
    <row r="291" spans="1:29" s="11" customFormat="1" ht="12.5" hidden="1">
      <c r="A291" s="23"/>
      <c r="AA291" s="33"/>
      <c r="AC291" s="10"/>
    </row>
    <row r="292" spans="1:29" s="11" customFormat="1" ht="12.5" hidden="1">
      <c r="A292" s="23"/>
      <c r="AA292" s="33"/>
      <c r="AC292" s="10"/>
    </row>
    <row r="293" spans="1:29" s="11" customFormat="1" ht="12.5" hidden="1">
      <c r="A293" s="23"/>
      <c r="AA293" s="33"/>
      <c r="AC293" s="10"/>
    </row>
    <row r="294" spans="1:29" s="11" customFormat="1" ht="12.5" hidden="1">
      <c r="A294" s="23"/>
      <c r="AA294" s="33"/>
      <c r="AC294" s="10"/>
    </row>
    <row r="295" spans="1:29" s="11" customFormat="1" ht="12.5" hidden="1">
      <c r="A295" s="23"/>
      <c r="AA295" s="33"/>
      <c r="AC295" s="10"/>
    </row>
    <row r="296" spans="1:29" s="11" customFormat="1" ht="12.5" hidden="1">
      <c r="A296" s="23"/>
      <c r="AA296" s="33"/>
      <c r="AC296" s="10"/>
    </row>
    <row r="297" spans="1:29" s="11" customFormat="1" ht="12.5" hidden="1">
      <c r="A297" s="23"/>
      <c r="AA297" s="33"/>
      <c r="AC297" s="10"/>
    </row>
    <row r="298" spans="1:29" s="11" customFormat="1" ht="12.5" hidden="1">
      <c r="A298" s="23"/>
      <c r="AA298" s="33"/>
      <c r="AC298" s="10"/>
    </row>
    <row r="299" spans="1:29" s="11" customFormat="1" ht="12.5" hidden="1">
      <c r="A299" s="23"/>
      <c r="AA299" s="33"/>
      <c r="AC299" s="10"/>
    </row>
    <row r="300" spans="1:29" s="11" customFormat="1" ht="12.5" hidden="1">
      <c r="A300" s="23"/>
      <c r="AA300" s="33"/>
      <c r="AC300" s="10"/>
    </row>
    <row r="301" spans="1:29" s="11" customFormat="1" ht="12.5" hidden="1">
      <c r="A301" s="23"/>
      <c r="AA301" s="33"/>
      <c r="AC301" s="10"/>
    </row>
    <row r="302" spans="1:29" s="11" customFormat="1" ht="12.5" hidden="1">
      <c r="A302" s="23"/>
      <c r="AA302" s="33"/>
      <c r="AC302" s="10"/>
    </row>
    <row r="303" spans="1:29" s="11" customFormat="1" ht="12.5" hidden="1">
      <c r="A303" s="23"/>
      <c r="AA303" s="33"/>
      <c r="AC303" s="10"/>
    </row>
    <row r="304" spans="1:29" s="11" customFormat="1" ht="12.5" hidden="1">
      <c r="A304" s="23"/>
      <c r="AA304" s="33"/>
      <c r="AC304" s="10"/>
    </row>
    <row r="305" spans="1:29" s="11" customFormat="1" ht="12.5" hidden="1">
      <c r="A305" s="23"/>
      <c r="AA305" s="33"/>
      <c r="AC305" s="10"/>
    </row>
    <row r="306" spans="1:29" s="11" customFormat="1" ht="12.5" hidden="1">
      <c r="A306" s="23"/>
      <c r="AA306" s="33"/>
      <c r="AC306" s="10"/>
    </row>
    <row r="307" spans="1:29" s="11" customFormat="1" ht="12.5" hidden="1">
      <c r="A307" s="23"/>
      <c r="AA307" s="33"/>
      <c r="AC307" s="10"/>
    </row>
    <row r="308" spans="1:29" s="11" customFormat="1" ht="12.5" hidden="1">
      <c r="A308" s="23"/>
      <c r="AA308" s="33"/>
      <c r="AC308" s="10"/>
    </row>
    <row r="309" spans="1:29" s="11" customFormat="1" ht="12.5" hidden="1">
      <c r="A309" s="23"/>
      <c r="AA309" s="33"/>
      <c r="AC309" s="10"/>
    </row>
    <row r="310" spans="1:29" s="11" customFormat="1" ht="12.5" hidden="1">
      <c r="A310" s="23"/>
      <c r="AA310" s="33"/>
      <c r="AC310" s="10"/>
    </row>
    <row r="311" spans="1:29" s="11" customFormat="1" ht="12.5" hidden="1">
      <c r="A311" s="23"/>
      <c r="AA311" s="33"/>
      <c r="AC311" s="10"/>
    </row>
    <row r="312" spans="1:29" s="11" customFormat="1" ht="12.5" hidden="1">
      <c r="A312" s="23"/>
      <c r="AA312" s="33"/>
      <c r="AC312" s="10"/>
    </row>
    <row r="313" spans="1:29" s="11" customFormat="1" ht="12.5" hidden="1">
      <c r="A313" s="23"/>
      <c r="AA313" s="33"/>
      <c r="AC313" s="10"/>
    </row>
    <row r="314" spans="1:29" s="11" customFormat="1" ht="12.5" hidden="1">
      <c r="A314" s="23"/>
      <c r="AA314" s="33"/>
      <c r="AC314" s="10"/>
    </row>
    <row r="315" spans="1:29" s="11" customFormat="1" ht="12.5" hidden="1">
      <c r="A315" s="23"/>
      <c r="AA315" s="33"/>
      <c r="AC315" s="10"/>
    </row>
    <row r="316" spans="1:29" s="11" customFormat="1" ht="12.5" hidden="1">
      <c r="A316" s="23"/>
      <c r="AA316" s="33"/>
      <c r="AC316" s="10"/>
    </row>
    <row r="317" spans="1:29" s="11" customFormat="1" ht="12.5" hidden="1">
      <c r="A317" s="23"/>
      <c r="AA317" s="33"/>
      <c r="AC317" s="10"/>
    </row>
    <row r="318" spans="1:29" s="11" customFormat="1" ht="12.5" hidden="1">
      <c r="A318" s="23"/>
      <c r="AA318" s="33"/>
      <c r="AC318" s="10"/>
    </row>
    <row r="319" spans="1:29" s="11" customFormat="1" ht="12.5" hidden="1">
      <c r="A319" s="23"/>
      <c r="AA319" s="33"/>
      <c r="AC319" s="10"/>
    </row>
    <row r="320" spans="1:29" s="11" customFormat="1" ht="12.5" hidden="1">
      <c r="A320" s="23"/>
      <c r="AA320" s="33"/>
      <c r="AC320" s="10"/>
    </row>
    <row r="321" spans="1:29" s="11" customFormat="1" ht="12.5" hidden="1">
      <c r="A321" s="23"/>
      <c r="AA321" s="33"/>
      <c r="AC321" s="10"/>
    </row>
    <row r="322" spans="1:29" s="11" customFormat="1" ht="12.5" hidden="1">
      <c r="A322" s="23"/>
      <c r="AA322" s="33"/>
      <c r="AC322" s="10"/>
    </row>
    <row r="323" spans="1:29" s="11" customFormat="1" ht="12.5" hidden="1">
      <c r="A323" s="23"/>
      <c r="AA323" s="33"/>
      <c r="AC323" s="10"/>
    </row>
    <row r="324" spans="1:29" s="11" customFormat="1" ht="12.5" hidden="1">
      <c r="A324" s="23"/>
      <c r="AA324" s="33"/>
      <c r="AC324" s="10"/>
    </row>
    <row r="325" spans="1:29" s="11" customFormat="1" ht="12.5" hidden="1">
      <c r="A325" s="23"/>
      <c r="AA325" s="33"/>
      <c r="AC325" s="10"/>
    </row>
    <row r="326" spans="1:29" s="11" customFormat="1" ht="12.5" hidden="1">
      <c r="A326" s="23"/>
      <c r="AA326" s="33"/>
      <c r="AC326" s="10"/>
    </row>
    <row r="327" spans="1:29" s="11" customFormat="1" ht="12.5" hidden="1">
      <c r="A327" s="23"/>
      <c r="AA327" s="33"/>
      <c r="AC327" s="10"/>
    </row>
    <row r="328" spans="1:29" s="11" customFormat="1" ht="12.5" hidden="1">
      <c r="A328" s="23"/>
      <c r="AA328" s="33"/>
      <c r="AC328" s="10"/>
    </row>
    <row r="329" spans="1:29" s="11" customFormat="1" ht="12.5" hidden="1">
      <c r="A329" s="23"/>
      <c r="AA329" s="33"/>
      <c r="AC329" s="10"/>
    </row>
    <row r="330" spans="1:29" s="11" customFormat="1" ht="12.5" hidden="1">
      <c r="A330" s="23"/>
      <c r="AA330" s="33"/>
      <c r="AC330" s="10"/>
    </row>
    <row r="331" spans="1:29" s="11" customFormat="1" ht="12.5" hidden="1">
      <c r="A331" s="23"/>
      <c r="AA331" s="33"/>
      <c r="AC331" s="10"/>
    </row>
    <row r="332" spans="1:29" s="11" customFormat="1" ht="12.5" hidden="1">
      <c r="A332" s="23"/>
      <c r="AA332" s="33"/>
      <c r="AC332" s="10"/>
    </row>
    <row r="333" spans="1:29" s="11" customFormat="1" ht="12.5" hidden="1">
      <c r="A333" s="23"/>
      <c r="AA333" s="33"/>
      <c r="AC333" s="10"/>
    </row>
    <row r="334" spans="1:29" s="11" customFormat="1" ht="12.5" hidden="1">
      <c r="A334" s="23"/>
      <c r="AA334" s="33"/>
      <c r="AC334" s="10"/>
    </row>
    <row r="335" spans="1:29" s="11" customFormat="1" ht="12.5" hidden="1">
      <c r="A335" s="23"/>
      <c r="AA335" s="33"/>
      <c r="AC335" s="10"/>
    </row>
    <row r="336" spans="1:29" s="11" customFormat="1" ht="12.5" hidden="1">
      <c r="A336" s="23"/>
      <c r="AA336" s="33"/>
      <c r="AC336" s="10"/>
    </row>
    <row r="337" spans="1:29" s="11" customFormat="1" ht="12.5" hidden="1">
      <c r="A337" s="23"/>
      <c r="AA337" s="33"/>
      <c r="AC337" s="10"/>
    </row>
    <row r="338" spans="1:29" s="11" customFormat="1" ht="12.5" hidden="1">
      <c r="A338" s="23"/>
      <c r="AA338" s="33"/>
      <c r="AC338" s="10"/>
    </row>
    <row r="339" spans="1:29" s="11" customFormat="1" ht="12.5" hidden="1">
      <c r="A339" s="23"/>
      <c r="AA339" s="33"/>
      <c r="AC339" s="10"/>
    </row>
    <row r="340" spans="1:29" s="11" customFormat="1" ht="12.5" hidden="1">
      <c r="A340" s="23"/>
      <c r="AA340" s="33"/>
      <c r="AC340" s="10"/>
    </row>
    <row r="341" spans="1:29" s="11" customFormat="1" ht="12.5" hidden="1">
      <c r="A341" s="23"/>
      <c r="AA341" s="33"/>
      <c r="AC341" s="10"/>
    </row>
    <row r="342" spans="1:29" s="11" customFormat="1" ht="12.5" hidden="1">
      <c r="A342" s="23"/>
      <c r="AA342" s="33"/>
      <c r="AC342" s="10"/>
    </row>
    <row r="343" spans="1:29" s="11" customFormat="1" ht="12.5" hidden="1">
      <c r="A343" s="23"/>
      <c r="AA343" s="33"/>
      <c r="AC343" s="10"/>
    </row>
    <row r="344" spans="1:29" s="11" customFormat="1" ht="12.5" hidden="1">
      <c r="A344" s="23"/>
      <c r="AA344" s="33"/>
      <c r="AC344" s="10"/>
    </row>
    <row r="345" spans="1:29" s="11" customFormat="1" ht="12.5" hidden="1">
      <c r="A345" s="23"/>
      <c r="AA345" s="33"/>
      <c r="AC345" s="10"/>
    </row>
    <row r="346" spans="1:29" s="11" customFormat="1" ht="12.5" hidden="1">
      <c r="A346" s="23"/>
      <c r="AA346" s="33"/>
      <c r="AC346" s="10"/>
    </row>
    <row r="347" spans="1:29" s="11" customFormat="1" ht="12.5" hidden="1">
      <c r="A347" s="23"/>
      <c r="AA347" s="33"/>
      <c r="AC347" s="10"/>
    </row>
    <row r="348" spans="1:29" s="11" customFormat="1" ht="12.5" hidden="1">
      <c r="A348" s="23"/>
      <c r="AA348" s="33"/>
      <c r="AC348" s="10"/>
    </row>
    <row r="349" spans="1:29" s="11" customFormat="1" ht="12.5" hidden="1">
      <c r="A349" s="23"/>
      <c r="AA349" s="33"/>
      <c r="AC349" s="10"/>
    </row>
    <row r="350" spans="1:29" s="11" customFormat="1" ht="12.5" hidden="1">
      <c r="A350" s="23"/>
      <c r="AA350" s="33"/>
      <c r="AC350" s="10"/>
    </row>
    <row r="351" spans="1:29" s="11" customFormat="1" ht="12.5" hidden="1">
      <c r="A351" s="23"/>
      <c r="AA351" s="33"/>
      <c r="AC351" s="10"/>
    </row>
    <row r="352" spans="1:29" s="11" customFormat="1" ht="12.5" hidden="1">
      <c r="A352" s="23"/>
      <c r="AA352" s="33"/>
      <c r="AC352" s="10"/>
    </row>
    <row r="353" spans="1:29" s="11" customFormat="1" ht="12.5" hidden="1">
      <c r="A353" s="23"/>
      <c r="AA353" s="33"/>
      <c r="AC353" s="10"/>
    </row>
    <row r="354" spans="1:29" s="11" customFormat="1" ht="12.5" hidden="1">
      <c r="A354" s="23"/>
      <c r="AA354" s="33"/>
      <c r="AC354" s="10"/>
    </row>
    <row r="355" spans="1:29" s="11" customFormat="1" ht="12.5" hidden="1">
      <c r="A355" s="23"/>
      <c r="AA355" s="33"/>
      <c r="AC355" s="10"/>
    </row>
    <row r="356" spans="1:29" s="11" customFormat="1" ht="12.5" hidden="1">
      <c r="A356" s="23"/>
      <c r="AA356" s="33"/>
      <c r="AC356" s="10"/>
    </row>
    <row r="357" spans="1:29" s="11" customFormat="1" ht="12.5" hidden="1">
      <c r="A357" s="23"/>
      <c r="AA357" s="33"/>
      <c r="AC357" s="10"/>
    </row>
    <row r="358" spans="1:29" s="11" customFormat="1" ht="12.5" hidden="1">
      <c r="A358" s="23"/>
      <c r="AA358" s="33"/>
      <c r="AC358" s="10"/>
    </row>
    <row r="359" spans="1:29" s="11" customFormat="1" ht="12.5" hidden="1">
      <c r="A359" s="23"/>
      <c r="AA359" s="33"/>
      <c r="AC359" s="10"/>
    </row>
    <row r="360" spans="1:29" s="11" customFormat="1" ht="12.5" hidden="1">
      <c r="A360" s="23"/>
      <c r="AA360" s="33"/>
      <c r="AC360" s="10"/>
    </row>
    <row r="361" spans="1:29" s="11" customFormat="1" ht="12.5" hidden="1">
      <c r="A361" s="23"/>
      <c r="AA361" s="33"/>
      <c r="AC361" s="10"/>
    </row>
    <row r="362" spans="1:29" s="11" customFormat="1" ht="12.5" hidden="1">
      <c r="A362" s="23"/>
      <c r="AA362" s="33"/>
      <c r="AC362" s="10"/>
    </row>
    <row r="363" spans="1:29" s="11" customFormat="1" ht="12.5" hidden="1">
      <c r="A363" s="23"/>
      <c r="AA363" s="33"/>
      <c r="AC363" s="10"/>
    </row>
    <row r="364" spans="1:29" s="11" customFormat="1" ht="12.5" hidden="1">
      <c r="A364" s="23"/>
      <c r="AA364" s="33"/>
      <c r="AC364" s="10"/>
    </row>
    <row r="365" spans="1:29" s="11" customFormat="1" ht="12.5" hidden="1">
      <c r="A365" s="23"/>
      <c r="AA365" s="33"/>
      <c r="AC365" s="10"/>
    </row>
    <row r="366" spans="1:29" s="11" customFormat="1" ht="12.5" hidden="1">
      <c r="A366" s="23"/>
      <c r="AA366" s="33"/>
      <c r="AC366" s="10"/>
    </row>
    <row r="367" spans="1:29" s="11" customFormat="1" ht="12.5" hidden="1">
      <c r="A367" s="23"/>
      <c r="AA367" s="33"/>
      <c r="AC367" s="10"/>
    </row>
    <row r="368" spans="1:29" s="11" customFormat="1" ht="12.5" hidden="1">
      <c r="A368" s="23"/>
      <c r="AA368" s="33"/>
      <c r="AC368" s="10"/>
    </row>
    <row r="369" spans="1:29" s="11" customFormat="1" ht="12.5" hidden="1">
      <c r="A369" s="23"/>
      <c r="AA369" s="33"/>
      <c r="AC369" s="10"/>
    </row>
    <row r="370" spans="1:29" s="11" customFormat="1" ht="12.5" hidden="1">
      <c r="A370" s="23"/>
      <c r="AA370" s="33"/>
      <c r="AC370" s="10"/>
    </row>
    <row r="371" spans="1:29" s="11" customFormat="1" ht="12.5" hidden="1">
      <c r="A371" s="23"/>
      <c r="AA371" s="33"/>
      <c r="AC371" s="10"/>
    </row>
    <row r="372" spans="1:29" s="11" customFormat="1" ht="12.5" hidden="1">
      <c r="A372" s="23"/>
      <c r="AA372" s="33"/>
      <c r="AC372" s="10"/>
    </row>
    <row r="373" spans="1:29" s="11" customFormat="1" ht="12.5" hidden="1">
      <c r="A373" s="23"/>
      <c r="AA373" s="33"/>
      <c r="AC373" s="10"/>
    </row>
    <row r="374" spans="1:29" s="11" customFormat="1" ht="12.5" hidden="1">
      <c r="A374" s="23"/>
      <c r="AA374" s="33"/>
      <c r="AC374" s="10"/>
    </row>
    <row r="375" spans="1:29" s="11" customFormat="1" ht="12.5" hidden="1">
      <c r="A375" s="23"/>
      <c r="AA375" s="33"/>
      <c r="AC375" s="10"/>
    </row>
    <row r="376" spans="1:29" s="11" customFormat="1" ht="12.5" hidden="1">
      <c r="A376" s="23"/>
      <c r="AA376" s="33"/>
      <c r="AC376" s="10"/>
    </row>
    <row r="377" spans="1:29" s="11" customFormat="1" ht="12.5" hidden="1">
      <c r="A377" s="23"/>
      <c r="AA377" s="33"/>
      <c r="AC377" s="10"/>
    </row>
    <row r="378" spans="1:29" s="11" customFormat="1" ht="12.5" hidden="1">
      <c r="A378" s="23"/>
      <c r="AA378" s="33"/>
      <c r="AC378" s="10"/>
    </row>
    <row r="379" spans="1:29" s="11" customFormat="1" ht="12.5" hidden="1">
      <c r="A379" s="23"/>
      <c r="AA379" s="33"/>
      <c r="AC379" s="10"/>
    </row>
    <row r="380" spans="1:29" s="11" customFormat="1" ht="12.5" hidden="1">
      <c r="A380" s="23"/>
      <c r="AA380" s="33"/>
      <c r="AC380" s="10"/>
    </row>
    <row r="381" spans="1:29" s="11" customFormat="1" ht="12.5" hidden="1">
      <c r="A381" s="23"/>
      <c r="AA381" s="33"/>
      <c r="AC381" s="10"/>
    </row>
    <row r="382" spans="1:29" s="11" customFormat="1" ht="12.5" hidden="1">
      <c r="A382" s="23"/>
      <c r="AA382" s="33"/>
      <c r="AC382" s="10"/>
    </row>
    <row r="383" spans="1:29" s="11" customFormat="1" ht="12.5" hidden="1">
      <c r="A383" s="23"/>
      <c r="AA383" s="33"/>
      <c r="AC383" s="10"/>
    </row>
    <row r="384" spans="1:29" s="11" customFormat="1" ht="12.5" hidden="1">
      <c r="A384" s="23"/>
      <c r="AA384" s="33"/>
      <c r="AC384" s="10"/>
    </row>
    <row r="385" spans="1:29" s="11" customFormat="1" ht="12.5" hidden="1">
      <c r="A385" s="23"/>
      <c r="AA385" s="33"/>
      <c r="AC385" s="10"/>
    </row>
    <row r="386" spans="1:29" s="11" customFormat="1" ht="12.5" hidden="1">
      <c r="A386" s="23"/>
      <c r="AA386" s="33"/>
      <c r="AC386" s="10"/>
    </row>
    <row r="387" spans="1:29" s="11" customFormat="1" ht="12.5" hidden="1">
      <c r="A387" s="23"/>
      <c r="AA387" s="33"/>
      <c r="AC387" s="10"/>
    </row>
    <row r="388" spans="1:29" s="11" customFormat="1" ht="12.5" hidden="1">
      <c r="A388" s="23"/>
      <c r="AA388" s="33"/>
      <c r="AC388" s="10"/>
    </row>
    <row r="389" spans="1:29" s="11" customFormat="1" ht="12.5" hidden="1">
      <c r="A389" s="23"/>
      <c r="AA389" s="33"/>
      <c r="AC389" s="10"/>
    </row>
    <row r="390" spans="1:29" s="11" customFormat="1" ht="12.5" hidden="1">
      <c r="A390" s="23"/>
      <c r="AA390" s="33"/>
      <c r="AC390" s="10"/>
    </row>
    <row r="391" spans="1:29" s="11" customFormat="1" ht="12.5" hidden="1">
      <c r="A391" s="23"/>
      <c r="AA391" s="33"/>
      <c r="AC391" s="10"/>
    </row>
    <row r="392" spans="1:29" s="11" customFormat="1" ht="12.5" hidden="1">
      <c r="A392" s="23"/>
      <c r="AA392" s="33"/>
      <c r="AC392" s="10"/>
    </row>
    <row r="393" spans="1:29" s="11" customFormat="1" ht="12.5" hidden="1">
      <c r="A393" s="23"/>
      <c r="AA393" s="33"/>
      <c r="AC393" s="10"/>
    </row>
    <row r="394" spans="1:29" s="11" customFormat="1" ht="12.5" hidden="1">
      <c r="A394" s="23"/>
      <c r="AA394" s="33"/>
      <c r="AC394" s="10"/>
    </row>
    <row r="395" spans="1:29" s="11" customFormat="1" ht="12.5" hidden="1">
      <c r="A395" s="23"/>
      <c r="AA395" s="33"/>
      <c r="AC395" s="10"/>
    </row>
    <row r="396" spans="1:29" s="11" customFormat="1" ht="12.5" hidden="1">
      <c r="A396" s="23"/>
      <c r="AA396" s="33"/>
      <c r="AC396" s="10"/>
    </row>
    <row r="397" spans="1:29" s="11" customFormat="1" ht="12.5" hidden="1">
      <c r="A397" s="23"/>
      <c r="AA397" s="33"/>
      <c r="AC397" s="10"/>
    </row>
    <row r="398" spans="1:29" s="11" customFormat="1" ht="12.5" hidden="1">
      <c r="A398" s="23"/>
      <c r="AA398" s="33"/>
      <c r="AC398" s="10"/>
    </row>
    <row r="399" spans="1:29" s="11" customFormat="1" ht="12.5" hidden="1">
      <c r="A399" s="23"/>
      <c r="AA399" s="33"/>
      <c r="AC399" s="10"/>
    </row>
    <row r="400" spans="1:29" s="11" customFormat="1" ht="12.5" hidden="1">
      <c r="A400" s="23"/>
      <c r="AA400" s="33"/>
      <c r="AC400" s="10"/>
    </row>
    <row r="401" spans="1:29" s="11" customFormat="1" ht="12.5" hidden="1">
      <c r="A401" s="23"/>
      <c r="AA401" s="33"/>
      <c r="AC401" s="10"/>
    </row>
    <row r="402" spans="1:29" s="11" customFormat="1" ht="12.5" hidden="1">
      <c r="A402" s="23"/>
      <c r="AA402" s="33"/>
      <c r="AC402" s="10"/>
    </row>
    <row r="403" spans="1:29" s="11" customFormat="1" ht="12.5" hidden="1">
      <c r="A403" s="23"/>
      <c r="AA403" s="33"/>
      <c r="AC403" s="10"/>
    </row>
    <row r="404" spans="1:29" s="11" customFormat="1" ht="12.5" hidden="1">
      <c r="A404" s="23"/>
      <c r="AA404" s="33"/>
      <c r="AC404" s="10"/>
    </row>
    <row r="405" spans="1:29" s="11" customFormat="1" ht="12.5" hidden="1">
      <c r="A405" s="23"/>
      <c r="AA405" s="33"/>
      <c r="AC405" s="10"/>
    </row>
    <row r="406" spans="1:29" s="11" customFormat="1" ht="12.5" hidden="1">
      <c r="A406" s="23"/>
      <c r="AA406" s="33"/>
      <c r="AC406" s="10"/>
    </row>
    <row r="407" spans="1:29" s="11" customFormat="1" ht="12.5" hidden="1">
      <c r="A407" s="23"/>
      <c r="AA407" s="33"/>
      <c r="AC407" s="10"/>
    </row>
    <row r="408" spans="1:29" s="11" customFormat="1" ht="12.5" hidden="1">
      <c r="A408" s="23"/>
      <c r="AA408" s="33"/>
      <c r="AC408" s="10"/>
    </row>
    <row r="409" spans="1:29" s="11" customFormat="1" ht="12.5" hidden="1">
      <c r="A409" s="23"/>
      <c r="AA409" s="33"/>
      <c r="AC409" s="10"/>
    </row>
    <row r="410" spans="1:29" s="11" customFormat="1" ht="12.5" hidden="1">
      <c r="A410" s="23"/>
      <c r="AA410" s="33"/>
      <c r="AC410" s="10"/>
    </row>
    <row r="411" spans="1:29" s="11" customFormat="1" ht="12.5" hidden="1">
      <c r="A411" s="23"/>
      <c r="AA411" s="33"/>
      <c r="AC411" s="10"/>
    </row>
    <row r="412" spans="1:29" s="11" customFormat="1" ht="12.5" hidden="1">
      <c r="A412" s="23"/>
      <c r="AA412" s="33"/>
      <c r="AC412" s="10"/>
    </row>
    <row r="413" spans="1:29" s="11" customFormat="1" ht="12.5" hidden="1">
      <c r="A413" s="23"/>
      <c r="AA413" s="33"/>
      <c r="AC413" s="10"/>
    </row>
    <row r="414" spans="1:29" s="11" customFormat="1" ht="12.5" hidden="1">
      <c r="A414" s="23"/>
      <c r="AA414" s="33"/>
      <c r="AC414" s="10"/>
    </row>
    <row r="415" spans="1:29" s="11" customFormat="1" ht="12.5" hidden="1">
      <c r="A415" s="23"/>
      <c r="AA415" s="33"/>
      <c r="AC415" s="10"/>
    </row>
    <row r="416" spans="1:29" s="11" customFormat="1" ht="12.5" hidden="1">
      <c r="A416" s="23"/>
      <c r="AA416" s="33"/>
      <c r="AC416" s="10"/>
    </row>
    <row r="417" spans="1:29" s="11" customFormat="1" ht="12.5" hidden="1">
      <c r="A417" s="23"/>
      <c r="AA417" s="33"/>
      <c r="AC417" s="10"/>
    </row>
    <row r="418" spans="1:29" s="11" customFormat="1" ht="12.5" hidden="1">
      <c r="A418" s="23"/>
      <c r="AA418" s="33"/>
      <c r="AC418" s="10"/>
    </row>
    <row r="419" spans="1:29" s="11" customFormat="1" ht="12.5" hidden="1">
      <c r="A419" s="23"/>
      <c r="AA419" s="33"/>
      <c r="AC419" s="10"/>
    </row>
    <row r="420" spans="1:29" s="11" customFormat="1" ht="12.5" hidden="1">
      <c r="A420" s="23"/>
      <c r="AA420" s="33"/>
      <c r="AC420" s="10"/>
    </row>
    <row r="421" spans="1:29" s="11" customFormat="1" ht="12.5" hidden="1">
      <c r="A421" s="23"/>
      <c r="AA421" s="33"/>
      <c r="AC421" s="10"/>
    </row>
    <row r="422" spans="1:29" s="11" customFormat="1" ht="12.5" hidden="1">
      <c r="A422" s="23"/>
      <c r="AA422" s="33"/>
      <c r="AC422" s="10"/>
    </row>
    <row r="423" spans="1:29" s="11" customFormat="1" ht="12.5" hidden="1">
      <c r="A423" s="23"/>
      <c r="AA423" s="33"/>
      <c r="AC423" s="10"/>
    </row>
    <row r="424" spans="1:29" s="11" customFormat="1" ht="12.5" hidden="1">
      <c r="A424" s="23"/>
      <c r="AA424" s="33"/>
      <c r="AC424" s="10"/>
    </row>
    <row r="425" spans="1:29" s="11" customFormat="1" ht="12.5" hidden="1">
      <c r="A425" s="23"/>
      <c r="AA425" s="33"/>
      <c r="AC425" s="10"/>
    </row>
    <row r="426" spans="1:29" s="11" customFormat="1" ht="12.5" hidden="1">
      <c r="A426" s="23"/>
      <c r="AA426" s="33"/>
      <c r="AC426" s="10"/>
    </row>
    <row r="427" spans="1:29" s="11" customFormat="1" ht="12.5" hidden="1">
      <c r="A427" s="23"/>
      <c r="AA427" s="33"/>
      <c r="AC427" s="10"/>
    </row>
    <row r="428" spans="1:29" s="11" customFormat="1" ht="12.5" hidden="1">
      <c r="A428" s="23"/>
      <c r="AA428" s="33"/>
      <c r="AC428" s="10"/>
    </row>
    <row r="429" spans="1:29" s="11" customFormat="1" ht="12.5" hidden="1">
      <c r="A429" s="23"/>
      <c r="AA429" s="33"/>
      <c r="AC429" s="10"/>
    </row>
    <row r="430" spans="1:29" s="11" customFormat="1" ht="12.5" hidden="1">
      <c r="A430" s="23"/>
      <c r="AA430" s="33"/>
      <c r="AC430" s="10"/>
    </row>
    <row r="431" spans="1:29" s="11" customFormat="1" ht="12.5" hidden="1">
      <c r="A431" s="23"/>
      <c r="AA431" s="33"/>
      <c r="AC431" s="10"/>
    </row>
    <row r="432" spans="1:29" s="11" customFormat="1" ht="12.5" hidden="1">
      <c r="A432" s="23"/>
      <c r="AA432" s="33"/>
      <c r="AC432" s="10"/>
    </row>
    <row r="433" spans="1:29" s="11" customFormat="1" ht="12.5" hidden="1">
      <c r="A433" s="23"/>
      <c r="AA433" s="33"/>
      <c r="AC433" s="10"/>
    </row>
    <row r="434" spans="1:29" s="11" customFormat="1" ht="12.5" hidden="1">
      <c r="A434" s="23"/>
      <c r="AA434" s="33"/>
      <c r="AC434" s="10"/>
    </row>
    <row r="435" spans="1:29" s="11" customFormat="1" ht="12.5" hidden="1">
      <c r="A435" s="23"/>
      <c r="AA435" s="33"/>
      <c r="AC435" s="10"/>
    </row>
    <row r="436" spans="1:29" s="11" customFormat="1" ht="12.5" hidden="1">
      <c r="A436" s="23"/>
      <c r="AA436" s="33"/>
      <c r="AC436" s="10"/>
    </row>
    <row r="437" spans="1:29" s="11" customFormat="1" ht="12.5" hidden="1">
      <c r="A437" s="23"/>
      <c r="AA437" s="33"/>
      <c r="AC437" s="10"/>
    </row>
    <row r="438" spans="1:29" s="11" customFormat="1" ht="12.5" hidden="1">
      <c r="A438" s="23"/>
      <c r="AA438" s="33"/>
      <c r="AC438" s="10"/>
    </row>
    <row r="439" spans="1:29" s="11" customFormat="1" ht="12.5" hidden="1">
      <c r="A439" s="23"/>
      <c r="AA439" s="33"/>
      <c r="AC439" s="10"/>
    </row>
    <row r="440" spans="1:29" s="11" customFormat="1" ht="12.5" hidden="1">
      <c r="A440" s="23"/>
      <c r="AA440" s="33"/>
      <c r="AC440" s="10"/>
    </row>
    <row r="441" spans="1:29" s="11" customFormat="1" ht="12.5" hidden="1">
      <c r="A441" s="23"/>
      <c r="AA441" s="33"/>
      <c r="AC441" s="10"/>
    </row>
    <row r="442" spans="1:29" s="11" customFormat="1" ht="12.5" hidden="1">
      <c r="A442" s="23"/>
      <c r="AA442" s="33"/>
      <c r="AC442" s="10"/>
    </row>
    <row r="443" spans="1:29" s="11" customFormat="1" ht="12.5" hidden="1">
      <c r="A443" s="23"/>
      <c r="AA443" s="33"/>
      <c r="AC443" s="10"/>
    </row>
    <row r="444" spans="1:29" s="11" customFormat="1" ht="12.5" hidden="1">
      <c r="A444" s="23"/>
      <c r="AA444" s="33"/>
      <c r="AC444" s="10"/>
    </row>
    <row r="445" spans="1:29" s="11" customFormat="1" ht="12.5" hidden="1">
      <c r="A445" s="23"/>
      <c r="AA445" s="33"/>
      <c r="AC445" s="10"/>
    </row>
    <row r="446" spans="1:29" s="11" customFormat="1" ht="12.5" hidden="1">
      <c r="A446" s="23"/>
      <c r="AA446" s="33"/>
      <c r="AC446" s="10"/>
    </row>
    <row r="447" spans="1:29" s="11" customFormat="1" ht="12.5" hidden="1">
      <c r="A447" s="23"/>
      <c r="AA447" s="33"/>
      <c r="AC447" s="10"/>
    </row>
    <row r="448" spans="1:29" s="11" customFormat="1" ht="12.5" hidden="1">
      <c r="A448" s="23"/>
      <c r="AA448" s="33"/>
      <c r="AC448" s="10"/>
    </row>
    <row r="449" spans="1:29" s="11" customFormat="1" ht="12.5" hidden="1">
      <c r="A449" s="23"/>
      <c r="AA449" s="33"/>
      <c r="AC449" s="10"/>
    </row>
    <row r="450" spans="1:29" s="11" customFormat="1" ht="12.5" hidden="1">
      <c r="A450" s="23"/>
      <c r="AA450" s="33"/>
      <c r="AC450" s="10"/>
    </row>
    <row r="451" spans="1:29" s="11" customFormat="1" ht="12.5" hidden="1">
      <c r="A451" s="23"/>
      <c r="AA451" s="33"/>
      <c r="AC451" s="10"/>
    </row>
    <row r="452" spans="1:29" s="11" customFormat="1" ht="12.5" hidden="1">
      <c r="A452" s="23"/>
      <c r="AA452" s="33"/>
      <c r="AC452" s="10"/>
    </row>
    <row r="453" spans="1:29" s="11" customFormat="1" ht="12.5" hidden="1">
      <c r="A453" s="23"/>
      <c r="AA453" s="33"/>
      <c r="AC453" s="10"/>
    </row>
    <row r="454" spans="1:29" s="11" customFormat="1" ht="12.5" hidden="1">
      <c r="A454" s="23"/>
      <c r="AA454" s="33"/>
      <c r="AC454" s="10"/>
    </row>
    <row r="455" spans="1:29" s="11" customFormat="1" ht="12.5" hidden="1">
      <c r="A455" s="23"/>
      <c r="AA455" s="33"/>
      <c r="AC455" s="10"/>
    </row>
    <row r="456" spans="1:29" s="11" customFormat="1" ht="12.5" hidden="1">
      <c r="A456" s="23"/>
      <c r="AA456" s="33"/>
      <c r="AC456" s="10"/>
    </row>
    <row r="457" spans="1:29" s="11" customFormat="1" ht="12.5" hidden="1">
      <c r="A457" s="23"/>
      <c r="AA457" s="33"/>
      <c r="AC457" s="10"/>
    </row>
    <row r="458" spans="1:29" s="11" customFormat="1" ht="12.5" hidden="1">
      <c r="A458" s="23"/>
      <c r="AA458" s="33"/>
      <c r="AC458" s="10"/>
    </row>
    <row r="459" spans="1:29" s="11" customFormat="1" ht="12.5" hidden="1">
      <c r="A459" s="23"/>
      <c r="AA459" s="33"/>
      <c r="AC459" s="10"/>
    </row>
    <row r="460" spans="1:29" s="11" customFormat="1" ht="12.5" hidden="1">
      <c r="A460" s="23"/>
      <c r="AA460" s="33"/>
      <c r="AC460" s="10"/>
    </row>
    <row r="461" spans="1:29" s="11" customFormat="1" ht="12.5" hidden="1">
      <c r="A461" s="23"/>
      <c r="AA461" s="33"/>
      <c r="AC461" s="10"/>
    </row>
    <row r="462" spans="1:29" s="11" customFormat="1" ht="12.5" hidden="1">
      <c r="A462" s="23"/>
      <c r="AA462" s="33"/>
      <c r="AC462" s="10"/>
    </row>
    <row r="463" spans="1:29" s="11" customFormat="1" ht="12.5" hidden="1">
      <c r="A463" s="23"/>
      <c r="AA463" s="33"/>
      <c r="AC463" s="10"/>
    </row>
    <row r="464" spans="1:29" s="11" customFormat="1" ht="12.5" hidden="1">
      <c r="A464" s="23"/>
      <c r="AA464" s="33"/>
      <c r="AC464" s="10"/>
    </row>
    <row r="465" spans="1:29" s="11" customFormat="1" ht="12.5" hidden="1">
      <c r="A465" s="23"/>
      <c r="AA465" s="33"/>
      <c r="AC465" s="10"/>
    </row>
    <row r="466" spans="1:29" s="11" customFormat="1" ht="12.5" hidden="1">
      <c r="A466" s="23"/>
      <c r="AA466" s="33"/>
      <c r="AC466" s="10"/>
    </row>
    <row r="467" spans="1:29" s="11" customFormat="1" ht="12.5" hidden="1">
      <c r="A467" s="23"/>
      <c r="AA467" s="33"/>
      <c r="AC467" s="10"/>
    </row>
    <row r="468" spans="1:29" s="11" customFormat="1" ht="12.5" hidden="1">
      <c r="A468" s="23"/>
      <c r="AA468" s="33"/>
      <c r="AC468" s="10"/>
    </row>
    <row r="469" spans="1:29" s="11" customFormat="1" ht="12.5" hidden="1">
      <c r="A469" s="23"/>
      <c r="AA469" s="33"/>
      <c r="AC469" s="10"/>
    </row>
    <row r="470" spans="1:29" s="11" customFormat="1" ht="12.5" hidden="1">
      <c r="A470" s="23"/>
      <c r="AA470" s="33"/>
      <c r="AC470" s="10"/>
    </row>
    <row r="471" spans="1:29" s="11" customFormat="1" ht="12.5" hidden="1">
      <c r="A471" s="23"/>
      <c r="AA471" s="33"/>
      <c r="AC471" s="10"/>
    </row>
    <row r="472" spans="1:29" s="11" customFormat="1" ht="12.5" hidden="1">
      <c r="A472" s="23"/>
      <c r="AA472" s="33"/>
      <c r="AC472" s="10"/>
    </row>
    <row r="473" spans="1:29" s="11" customFormat="1" ht="12.5" hidden="1">
      <c r="A473" s="23"/>
      <c r="AA473" s="33"/>
      <c r="AC473" s="10"/>
    </row>
    <row r="474" spans="1:29" s="11" customFormat="1" ht="12.5" hidden="1">
      <c r="A474" s="23"/>
      <c r="AA474" s="33"/>
      <c r="AC474" s="10"/>
    </row>
    <row r="475" spans="1:29" s="11" customFormat="1" ht="12.5" hidden="1">
      <c r="A475" s="23"/>
      <c r="AA475" s="33"/>
      <c r="AC475" s="10"/>
    </row>
    <row r="476" spans="1:29" s="11" customFormat="1" ht="12.5" hidden="1">
      <c r="A476" s="23"/>
      <c r="AA476" s="33"/>
      <c r="AC476" s="10"/>
    </row>
    <row r="477" spans="1:29" s="11" customFormat="1" ht="12.5" hidden="1">
      <c r="A477" s="23"/>
      <c r="AA477" s="33"/>
      <c r="AC477" s="10"/>
    </row>
    <row r="478" spans="1:29" s="11" customFormat="1" ht="12.5" hidden="1">
      <c r="A478" s="23"/>
      <c r="AA478" s="33"/>
      <c r="AC478" s="10"/>
    </row>
    <row r="479" spans="1:29" s="11" customFormat="1" ht="12.5" hidden="1">
      <c r="A479" s="23"/>
      <c r="AA479" s="33"/>
      <c r="AC479" s="10"/>
    </row>
    <row r="480" spans="1:29" s="11" customFormat="1" ht="12.5" hidden="1">
      <c r="A480" s="23"/>
      <c r="AA480" s="33"/>
      <c r="AC480" s="10"/>
    </row>
    <row r="481" spans="1:29" s="11" customFormat="1" ht="12.5" hidden="1">
      <c r="A481" s="23"/>
      <c r="AA481" s="33"/>
      <c r="AC481" s="10"/>
    </row>
    <row r="482" spans="1:29" s="11" customFormat="1" ht="12.5" hidden="1">
      <c r="A482" s="23"/>
      <c r="AA482" s="33"/>
      <c r="AC482" s="10"/>
    </row>
    <row r="483" spans="1:29" s="11" customFormat="1" ht="12.5" hidden="1">
      <c r="A483" s="23"/>
      <c r="AA483" s="33"/>
      <c r="AC483" s="10"/>
    </row>
    <row r="484" spans="1:29" s="11" customFormat="1" ht="12.5" hidden="1">
      <c r="A484" s="23"/>
      <c r="AA484" s="33"/>
      <c r="AC484" s="10"/>
    </row>
    <row r="485" spans="1:29" s="11" customFormat="1" ht="12.5" hidden="1">
      <c r="A485" s="23"/>
      <c r="AA485" s="33"/>
      <c r="AC485" s="10"/>
    </row>
    <row r="486" spans="1:29" s="11" customFormat="1" ht="12.5" hidden="1">
      <c r="A486" s="23"/>
      <c r="AA486" s="33"/>
      <c r="AC486" s="10"/>
    </row>
    <row r="487" spans="1:29" s="11" customFormat="1" ht="12.5" hidden="1">
      <c r="A487" s="23"/>
      <c r="AA487" s="33"/>
      <c r="AC487" s="10"/>
    </row>
    <row r="488" spans="1:29" s="11" customFormat="1" ht="12.5" hidden="1">
      <c r="A488" s="23"/>
      <c r="AA488" s="33"/>
      <c r="AC488" s="10"/>
    </row>
    <row r="489" spans="1:29" s="11" customFormat="1" ht="12.5" hidden="1">
      <c r="A489" s="23"/>
      <c r="AA489" s="33"/>
      <c r="AC489" s="10"/>
    </row>
    <row r="490" spans="1:29" s="11" customFormat="1" ht="12.5" hidden="1">
      <c r="A490" s="23"/>
      <c r="AA490" s="33"/>
      <c r="AC490" s="10"/>
    </row>
    <row r="491" spans="1:29" s="11" customFormat="1" ht="12.5" hidden="1">
      <c r="A491" s="23"/>
      <c r="AA491" s="33"/>
      <c r="AC491" s="10"/>
    </row>
    <row r="492" spans="1:29" s="11" customFormat="1" ht="12.5" hidden="1">
      <c r="A492" s="23"/>
      <c r="AA492" s="33"/>
      <c r="AC492" s="10"/>
    </row>
    <row r="493" spans="1:29" s="11" customFormat="1" ht="12.5" hidden="1">
      <c r="A493" s="23"/>
      <c r="AA493" s="33"/>
      <c r="AC493" s="10"/>
    </row>
    <row r="494" spans="1:29" s="11" customFormat="1" ht="12.5" hidden="1">
      <c r="A494" s="23"/>
      <c r="AA494" s="33"/>
      <c r="AC494" s="10"/>
    </row>
    <row r="495" spans="1:29" s="11" customFormat="1" ht="12.5" hidden="1">
      <c r="A495" s="23"/>
      <c r="AA495" s="33"/>
      <c r="AC495" s="10"/>
    </row>
    <row r="496" spans="1:29" s="11" customFormat="1" ht="12.5" hidden="1">
      <c r="A496" s="23"/>
      <c r="AA496" s="33"/>
      <c r="AC496" s="10"/>
    </row>
    <row r="497" spans="1:29" s="11" customFormat="1" ht="12.5" hidden="1">
      <c r="A497" s="23"/>
      <c r="AA497" s="33"/>
      <c r="AC497" s="10"/>
    </row>
    <row r="498" spans="1:29" s="11" customFormat="1" ht="12.5" hidden="1">
      <c r="A498" s="23"/>
      <c r="AA498" s="33"/>
      <c r="AC498" s="10"/>
    </row>
    <row r="499" spans="1:29" s="11" customFormat="1" ht="12.5" hidden="1">
      <c r="A499" s="23"/>
      <c r="AA499" s="33"/>
      <c r="AC499" s="10"/>
    </row>
    <row r="500" spans="1:29" s="11" customFormat="1" ht="12.5" hidden="1">
      <c r="A500" s="23"/>
      <c r="AA500" s="33"/>
      <c r="AC500" s="10"/>
    </row>
    <row r="501" spans="1:29" s="11" customFormat="1" ht="12.5" hidden="1">
      <c r="A501" s="23"/>
      <c r="AA501" s="33"/>
      <c r="AC501" s="10"/>
    </row>
    <row r="502" spans="1:29" s="11" customFormat="1" ht="12.5" hidden="1">
      <c r="A502" s="23"/>
      <c r="AA502" s="33"/>
      <c r="AC502" s="10"/>
    </row>
    <row r="503" spans="1:29" s="11" customFormat="1" ht="12.5" hidden="1">
      <c r="A503" s="23"/>
      <c r="AA503" s="33"/>
      <c r="AC503" s="10"/>
    </row>
    <row r="504" spans="1:29" s="11" customFormat="1" ht="12.5" hidden="1">
      <c r="A504" s="23"/>
      <c r="AA504" s="33"/>
      <c r="AC504" s="10"/>
    </row>
    <row r="505" spans="1:29" s="11" customFormat="1" ht="12.5" hidden="1">
      <c r="A505" s="23"/>
      <c r="AA505" s="33"/>
      <c r="AC505" s="10"/>
    </row>
    <row r="506" spans="1:29" s="11" customFormat="1" ht="12.5" hidden="1">
      <c r="A506" s="23"/>
      <c r="AA506" s="33"/>
      <c r="AC506" s="10"/>
    </row>
    <row r="507" spans="1:29" s="11" customFormat="1" ht="12.5" hidden="1">
      <c r="A507" s="23"/>
      <c r="AA507" s="33"/>
      <c r="AC507" s="10"/>
    </row>
    <row r="508" spans="1:29" s="11" customFormat="1" ht="12.5" hidden="1">
      <c r="A508" s="23"/>
      <c r="AA508" s="33"/>
      <c r="AC508" s="10"/>
    </row>
    <row r="509" spans="1:29" s="11" customFormat="1" ht="12.5" hidden="1">
      <c r="A509" s="23"/>
      <c r="AA509" s="33"/>
      <c r="AC509" s="10"/>
    </row>
    <row r="510" spans="1:29" s="11" customFormat="1" ht="12.5" hidden="1">
      <c r="A510" s="23"/>
      <c r="AA510" s="33"/>
      <c r="AC510" s="10"/>
    </row>
    <row r="511" spans="1:29" s="11" customFormat="1" ht="12.5" hidden="1">
      <c r="A511" s="23"/>
      <c r="AA511" s="33"/>
      <c r="AC511" s="10"/>
    </row>
    <row r="512" spans="1:29" s="11" customFormat="1" ht="12.5" hidden="1">
      <c r="A512" s="23"/>
      <c r="AA512" s="33"/>
      <c r="AC512" s="10"/>
    </row>
    <row r="513" spans="1:29" s="11" customFormat="1" ht="12.5" hidden="1">
      <c r="A513" s="23"/>
      <c r="AA513" s="33"/>
      <c r="AC513" s="10"/>
    </row>
    <row r="514" spans="1:29" s="11" customFormat="1" ht="12.5" hidden="1">
      <c r="A514" s="23"/>
      <c r="AA514" s="33"/>
      <c r="AC514" s="10"/>
    </row>
    <row r="515" spans="1:29" s="11" customFormat="1" ht="12.5" hidden="1">
      <c r="A515" s="23"/>
      <c r="AA515" s="33"/>
      <c r="AC515" s="10"/>
    </row>
    <row r="516" spans="1:29" s="11" customFormat="1" ht="12.5" hidden="1">
      <c r="A516" s="23"/>
      <c r="AA516" s="33"/>
      <c r="AC516" s="10"/>
    </row>
    <row r="517" spans="1:29" s="11" customFormat="1" ht="12.5" hidden="1">
      <c r="A517" s="23"/>
      <c r="AA517" s="33"/>
      <c r="AC517" s="10"/>
    </row>
    <row r="518" spans="1:29" s="11" customFormat="1" ht="12.5" hidden="1">
      <c r="A518" s="23"/>
      <c r="AA518" s="33"/>
      <c r="AC518" s="10"/>
    </row>
    <row r="519" spans="1:29" s="11" customFormat="1" ht="12.5" hidden="1">
      <c r="A519" s="23"/>
      <c r="AA519" s="33"/>
      <c r="AC519" s="10"/>
    </row>
    <row r="520" spans="1:29" s="11" customFormat="1" ht="12.5" hidden="1">
      <c r="A520" s="23"/>
      <c r="AA520" s="33"/>
      <c r="AC520" s="10"/>
    </row>
    <row r="521" spans="1:29" s="11" customFormat="1" ht="12.5" hidden="1">
      <c r="A521" s="23"/>
      <c r="AA521" s="33"/>
      <c r="AC521" s="10"/>
    </row>
    <row r="522" spans="1:29" s="11" customFormat="1" ht="12.5" hidden="1">
      <c r="A522" s="23"/>
      <c r="AA522" s="33"/>
      <c r="AC522" s="10"/>
    </row>
    <row r="523" spans="1:29" s="11" customFormat="1" ht="12.5" hidden="1">
      <c r="A523" s="23"/>
      <c r="AA523" s="33"/>
      <c r="AC523" s="10"/>
    </row>
    <row r="524" spans="1:29" s="11" customFormat="1" ht="12.5" hidden="1">
      <c r="A524" s="23"/>
      <c r="AA524" s="33"/>
      <c r="AC524" s="10"/>
    </row>
    <row r="525" spans="1:29" s="11" customFormat="1" ht="12.5" hidden="1">
      <c r="A525" s="23"/>
      <c r="AA525" s="33"/>
      <c r="AC525" s="10"/>
    </row>
    <row r="526" spans="1:29" s="11" customFormat="1" ht="12.5" hidden="1">
      <c r="A526" s="23"/>
      <c r="AA526" s="33"/>
      <c r="AC526" s="10"/>
    </row>
    <row r="527" spans="1:29" s="11" customFormat="1" ht="12.5" hidden="1">
      <c r="A527" s="23"/>
      <c r="AA527" s="33"/>
      <c r="AC527" s="10"/>
    </row>
    <row r="528" spans="1:29" s="11" customFormat="1" ht="12.5" hidden="1">
      <c r="A528" s="23"/>
      <c r="AA528" s="33"/>
      <c r="AC528" s="10"/>
    </row>
    <row r="529" spans="1:29" s="11" customFormat="1" ht="12.5" hidden="1">
      <c r="A529" s="23"/>
      <c r="AA529" s="33"/>
      <c r="AC529" s="10"/>
    </row>
    <row r="530" spans="1:29" s="11" customFormat="1" ht="12.5" hidden="1">
      <c r="A530" s="23"/>
      <c r="AA530" s="33"/>
      <c r="AC530" s="10"/>
    </row>
    <row r="531" spans="1:29" s="11" customFormat="1" ht="12.5" hidden="1">
      <c r="A531" s="23"/>
      <c r="AA531" s="33"/>
      <c r="AC531" s="10"/>
    </row>
    <row r="532" spans="1:29" s="11" customFormat="1" ht="12.5" hidden="1">
      <c r="A532" s="23"/>
      <c r="AA532" s="33"/>
      <c r="AC532" s="10"/>
    </row>
    <row r="533" spans="1:29" s="11" customFormat="1" ht="12.5" hidden="1">
      <c r="A533" s="23"/>
      <c r="AA533" s="33"/>
      <c r="AC533" s="10"/>
    </row>
    <row r="534" spans="1:29" s="11" customFormat="1" ht="12.5" hidden="1">
      <c r="A534" s="23"/>
      <c r="AA534" s="33"/>
      <c r="AC534" s="10"/>
    </row>
    <row r="535" spans="1:29" s="11" customFormat="1" ht="12.5" hidden="1">
      <c r="A535" s="23"/>
      <c r="AA535" s="33"/>
      <c r="AC535" s="10"/>
    </row>
    <row r="536" spans="1:29" s="11" customFormat="1" ht="12.5" hidden="1">
      <c r="A536" s="23"/>
      <c r="AA536" s="33"/>
      <c r="AC536" s="10"/>
    </row>
    <row r="537" spans="1:29" s="11" customFormat="1" ht="12.5" hidden="1">
      <c r="A537" s="23"/>
      <c r="AA537" s="33"/>
      <c r="AC537" s="10"/>
    </row>
    <row r="538" spans="1:29" s="11" customFormat="1" ht="12.5" hidden="1">
      <c r="A538" s="23"/>
      <c r="AA538" s="33"/>
      <c r="AC538" s="10"/>
    </row>
    <row r="539" spans="1:29" s="11" customFormat="1" ht="12.5" hidden="1">
      <c r="A539" s="23"/>
      <c r="AA539" s="33"/>
      <c r="AC539" s="10"/>
    </row>
    <row r="540" spans="1:29" s="11" customFormat="1" ht="12.5" hidden="1">
      <c r="A540" s="23"/>
      <c r="AA540" s="33"/>
      <c r="AC540" s="10"/>
    </row>
    <row r="541" spans="1:29" s="11" customFormat="1" ht="12.5" hidden="1">
      <c r="A541" s="23"/>
      <c r="AA541" s="33"/>
      <c r="AC541" s="10"/>
    </row>
    <row r="542" spans="1:29" s="11" customFormat="1" ht="12.5" hidden="1">
      <c r="A542" s="23"/>
      <c r="AA542" s="33"/>
      <c r="AC542" s="10"/>
    </row>
    <row r="543" spans="1:29" s="11" customFormat="1" ht="12.5" hidden="1">
      <c r="A543" s="23"/>
      <c r="AA543" s="33"/>
      <c r="AC543" s="10"/>
    </row>
    <row r="544" spans="1:29" s="11" customFormat="1" ht="12.5" hidden="1">
      <c r="A544" s="23"/>
      <c r="AA544" s="33"/>
      <c r="AC544" s="10"/>
    </row>
    <row r="545" spans="1:29" s="11" customFormat="1" ht="12.5" hidden="1">
      <c r="A545" s="23"/>
      <c r="AA545" s="33"/>
      <c r="AC545" s="10"/>
    </row>
    <row r="546" spans="1:29" s="11" customFormat="1" ht="12.5" hidden="1">
      <c r="A546" s="23"/>
      <c r="AA546" s="33"/>
      <c r="AC546" s="10"/>
    </row>
    <row r="547" spans="1:29" s="11" customFormat="1" ht="12.5" hidden="1">
      <c r="A547" s="23"/>
      <c r="AA547" s="33"/>
      <c r="AC547" s="10"/>
    </row>
    <row r="548" spans="1:29" s="11" customFormat="1" ht="12.5" hidden="1">
      <c r="A548" s="23"/>
      <c r="AA548" s="33"/>
      <c r="AC548" s="10"/>
    </row>
    <row r="549" spans="1:29" s="11" customFormat="1" ht="12.5" hidden="1">
      <c r="A549" s="23"/>
      <c r="AA549" s="33"/>
      <c r="AC549" s="10"/>
    </row>
    <row r="550" spans="1:29" s="11" customFormat="1" ht="12.5" hidden="1">
      <c r="A550" s="23"/>
      <c r="AA550" s="33"/>
      <c r="AC550" s="10"/>
    </row>
    <row r="551" spans="1:29" s="11" customFormat="1" ht="12.5" hidden="1">
      <c r="A551" s="23"/>
      <c r="AA551" s="33"/>
      <c r="AC551" s="10"/>
    </row>
    <row r="552" spans="1:29" s="11" customFormat="1" ht="12.5" hidden="1">
      <c r="A552" s="23"/>
      <c r="AA552" s="33"/>
      <c r="AC552" s="10"/>
    </row>
    <row r="553" spans="1:29" s="11" customFormat="1" ht="12.5" hidden="1">
      <c r="A553" s="23"/>
      <c r="AA553" s="33"/>
      <c r="AC553" s="10"/>
    </row>
    <row r="554" spans="1:29" s="11" customFormat="1" ht="12.5" hidden="1">
      <c r="A554" s="23"/>
      <c r="AA554" s="33"/>
      <c r="AC554" s="10"/>
    </row>
    <row r="555" spans="1:29" s="11" customFormat="1" ht="12.5" hidden="1">
      <c r="A555" s="23"/>
      <c r="AA555" s="33"/>
      <c r="AC555" s="10"/>
    </row>
    <row r="556" spans="1:29" s="11" customFormat="1" ht="12.5" hidden="1">
      <c r="A556" s="23"/>
      <c r="AA556" s="33"/>
      <c r="AC556" s="10"/>
    </row>
    <row r="557" spans="1:29" s="11" customFormat="1" ht="12.5" hidden="1">
      <c r="A557" s="23"/>
      <c r="AA557" s="33"/>
      <c r="AC557" s="10"/>
    </row>
    <row r="558" spans="1:29" s="11" customFormat="1" ht="12.5" hidden="1">
      <c r="A558" s="23"/>
      <c r="AA558" s="33"/>
      <c r="AC558" s="10"/>
    </row>
    <row r="559" spans="1:29" s="11" customFormat="1" ht="12.5" hidden="1">
      <c r="A559" s="23"/>
      <c r="AA559" s="33"/>
      <c r="AC559" s="10"/>
    </row>
    <row r="560" spans="1:29" s="11" customFormat="1" ht="12.5" hidden="1">
      <c r="A560" s="23"/>
      <c r="AA560" s="33"/>
      <c r="AC560" s="10"/>
    </row>
    <row r="561" spans="1:29" s="11" customFormat="1" ht="12.5" hidden="1">
      <c r="A561" s="23"/>
      <c r="AA561" s="33"/>
      <c r="AC561" s="10"/>
    </row>
    <row r="562" spans="1:29" s="11" customFormat="1" ht="12.5" hidden="1">
      <c r="A562" s="23"/>
      <c r="AA562" s="33"/>
      <c r="AC562" s="10"/>
    </row>
    <row r="563" spans="1:29" s="11" customFormat="1" ht="12.5" hidden="1">
      <c r="A563" s="23"/>
      <c r="AA563" s="33"/>
      <c r="AC563" s="10"/>
    </row>
    <row r="564" spans="1:29" s="11" customFormat="1" ht="12.5" hidden="1">
      <c r="A564" s="23"/>
      <c r="AA564" s="33"/>
      <c r="AC564" s="10"/>
    </row>
    <row r="565" spans="1:29" s="11" customFormat="1" ht="12.5" hidden="1">
      <c r="A565" s="23"/>
      <c r="AA565" s="33"/>
      <c r="AC565" s="10"/>
    </row>
    <row r="566" spans="1:29" s="11" customFormat="1" ht="12.5" hidden="1">
      <c r="A566" s="23"/>
      <c r="AA566" s="33"/>
      <c r="AC566" s="10"/>
    </row>
    <row r="567" spans="1:29" s="11" customFormat="1" ht="12.5" hidden="1">
      <c r="A567" s="23"/>
      <c r="AA567" s="33"/>
      <c r="AC567" s="10"/>
    </row>
    <row r="568" spans="1:29" s="11" customFormat="1" ht="12.5" hidden="1">
      <c r="A568" s="23"/>
      <c r="AA568" s="33"/>
      <c r="AC568" s="10"/>
    </row>
    <row r="569" spans="1:29" s="11" customFormat="1" ht="12.5" hidden="1">
      <c r="A569" s="23"/>
      <c r="AA569" s="33"/>
      <c r="AC569" s="10"/>
    </row>
    <row r="570" spans="1:29" s="11" customFormat="1" ht="12.5" hidden="1">
      <c r="A570" s="23"/>
      <c r="AA570" s="33"/>
      <c r="AC570" s="10"/>
    </row>
    <row r="571" spans="1:29" s="11" customFormat="1" ht="12.5" hidden="1">
      <c r="A571" s="23"/>
      <c r="AA571" s="33"/>
      <c r="AC571" s="10"/>
    </row>
    <row r="572" spans="1:29" s="11" customFormat="1" ht="12.5" hidden="1">
      <c r="A572" s="23"/>
      <c r="AA572" s="33"/>
      <c r="AC572" s="10"/>
    </row>
    <row r="573" spans="1:29" s="11" customFormat="1" ht="12.5" hidden="1">
      <c r="A573" s="23"/>
      <c r="AA573" s="33"/>
      <c r="AC573" s="10"/>
    </row>
    <row r="574" spans="1:29" s="11" customFormat="1" ht="12.5" hidden="1">
      <c r="A574" s="23"/>
      <c r="AA574" s="33"/>
      <c r="AC574" s="10"/>
    </row>
    <row r="575" spans="1:29" s="11" customFormat="1" ht="12.5" hidden="1">
      <c r="A575" s="23"/>
      <c r="AA575" s="33"/>
      <c r="AC575" s="10"/>
    </row>
    <row r="576" spans="1:29" s="11" customFormat="1" ht="12.5" hidden="1">
      <c r="A576" s="23"/>
      <c r="AA576" s="33"/>
      <c r="AC576" s="10"/>
    </row>
    <row r="577" spans="1:29" s="11" customFormat="1" ht="12.5" hidden="1">
      <c r="A577" s="23"/>
      <c r="AA577" s="33"/>
      <c r="AC577" s="10"/>
    </row>
    <row r="578" spans="1:29" s="11" customFormat="1" ht="12.5" hidden="1">
      <c r="A578" s="23"/>
      <c r="AA578" s="33"/>
      <c r="AC578" s="10"/>
    </row>
    <row r="579" spans="1:29" s="11" customFormat="1" ht="12.5" hidden="1">
      <c r="A579" s="23"/>
      <c r="AA579" s="33"/>
      <c r="AC579" s="10"/>
    </row>
    <row r="580" spans="1:29" s="11" customFormat="1" ht="12.5" hidden="1">
      <c r="A580" s="23"/>
      <c r="AA580" s="33"/>
      <c r="AC580" s="10"/>
    </row>
    <row r="581" spans="1:29" s="11" customFormat="1" ht="12.5" hidden="1">
      <c r="A581" s="23"/>
      <c r="AA581" s="33"/>
      <c r="AC581" s="10"/>
    </row>
    <row r="582" spans="1:29" s="11" customFormat="1" ht="12.5" hidden="1">
      <c r="A582" s="23"/>
      <c r="AA582" s="33"/>
      <c r="AC582" s="10"/>
    </row>
    <row r="583" spans="1:29" s="11" customFormat="1" ht="12.5" hidden="1">
      <c r="A583" s="23"/>
      <c r="AA583" s="33"/>
      <c r="AC583" s="10"/>
    </row>
    <row r="584" spans="1:29" s="11" customFormat="1" ht="12.5" hidden="1">
      <c r="A584" s="23"/>
      <c r="AA584" s="33"/>
      <c r="AC584" s="10"/>
    </row>
    <row r="585" spans="1:29" s="11" customFormat="1" ht="12.5" hidden="1">
      <c r="A585" s="23"/>
      <c r="AA585" s="33"/>
      <c r="AC585" s="10"/>
    </row>
    <row r="586" spans="1:29" s="11" customFormat="1" ht="12.5" hidden="1">
      <c r="A586" s="23"/>
      <c r="AA586" s="33"/>
      <c r="AC586" s="10"/>
    </row>
    <row r="587" spans="1:29" s="11" customFormat="1" ht="12.5" hidden="1">
      <c r="A587" s="23"/>
      <c r="AA587" s="33"/>
      <c r="AC587" s="10"/>
    </row>
    <row r="588" spans="1:29" s="11" customFormat="1" ht="12.5" hidden="1">
      <c r="A588" s="23"/>
      <c r="AA588" s="33"/>
      <c r="AC588" s="10"/>
    </row>
    <row r="589" spans="1:29" s="11" customFormat="1" ht="12.5" hidden="1">
      <c r="A589" s="23"/>
      <c r="AA589" s="33"/>
      <c r="AC589" s="10"/>
    </row>
    <row r="590" spans="1:29" s="11" customFormat="1" ht="12.5" hidden="1">
      <c r="A590" s="23"/>
      <c r="AA590" s="33"/>
      <c r="AC590" s="10"/>
    </row>
    <row r="591" spans="1:29" s="11" customFormat="1" ht="12.5" hidden="1">
      <c r="A591" s="23"/>
      <c r="AA591" s="33"/>
      <c r="AC591" s="10"/>
    </row>
    <row r="592" spans="1:29" s="11" customFormat="1" ht="12.5" hidden="1">
      <c r="A592" s="23"/>
      <c r="AA592" s="33"/>
      <c r="AC592" s="10"/>
    </row>
    <row r="593" spans="1:29" s="11" customFormat="1" ht="12.5" hidden="1">
      <c r="A593" s="23"/>
      <c r="AA593" s="33"/>
      <c r="AC593" s="10"/>
    </row>
    <row r="594" spans="1:29" s="11" customFormat="1" ht="12.5" hidden="1">
      <c r="A594" s="23"/>
      <c r="AA594" s="33"/>
      <c r="AC594" s="10"/>
    </row>
    <row r="595" spans="1:29" s="11" customFormat="1" ht="12.5" hidden="1">
      <c r="A595" s="23"/>
      <c r="AA595" s="33"/>
      <c r="AC595" s="10"/>
    </row>
    <row r="596" spans="1:29" s="11" customFormat="1" ht="12.5" hidden="1">
      <c r="A596" s="23"/>
      <c r="AA596" s="33"/>
      <c r="AC596" s="10"/>
    </row>
    <row r="597" spans="1:29" s="11" customFormat="1" ht="12.5" hidden="1">
      <c r="A597" s="23"/>
      <c r="AA597" s="33"/>
      <c r="AC597" s="10"/>
    </row>
    <row r="598" spans="1:29" s="11" customFormat="1" ht="12.5" hidden="1">
      <c r="A598" s="23"/>
      <c r="AA598" s="33"/>
      <c r="AC598" s="10"/>
    </row>
    <row r="599" spans="1:29" s="11" customFormat="1" ht="12.5" hidden="1">
      <c r="A599" s="23"/>
      <c r="AA599" s="33"/>
      <c r="AC599" s="10"/>
    </row>
    <row r="600" spans="1:29" s="11" customFormat="1" ht="12.5" hidden="1">
      <c r="A600" s="23"/>
      <c r="AA600" s="33"/>
      <c r="AC600" s="10"/>
    </row>
    <row r="601" spans="1:29" s="11" customFormat="1" ht="12.5" hidden="1">
      <c r="A601" s="23"/>
      <c r="AA601" s="33"/>
      <c r="AC601" s="10"/>
    </row>
    <row r="602" spans="1:29" s="11" customFormat="1" ht="12.5" hidden="1">
      <c r="A602" s="23"/>
      <c r="AA602" s="33"/>
      <c r="AC602" s="10"/>
    </row>
    <row r="603" spans="1:29" s="11" customFormat="1" ht="12.5" hidden="1">
      <c r="A603" s="23"/>
      <c r="AA603" s="33"/>
      <c r="AC603" s="10"/>
    </row>
    <row r="604" spans="1:29" s="11" customFormat="1" ht="12.5" hidden="1">
      <c r="A604" s="23"/>
      <c r="AA604" s="33"/>
      <c r="AC604" s="10"/>
    </row>
    <row r="605" spans="1:29" s="11" customFormat="1" ht="12.5" hidden="1">
      <c r="A605" s="23"/>
      <c r="AA605" s="33"/>
      <c r="AC605" s="10"/>
    </row>
    <row r="606" spans="1:29" s="11" customFormat="1" ht="12.5" hidden="1">
      <c r="A606" s="23"/>
      <c r="AA606" s="33"/>
      <c r="AC606" s="10"/>
    </row>
    <row r="607" spans="1:29" s="11" customFormat="1" ht="12.5" hidden="1">
      <c r="A607" s="23"/>
      <c r="AA607" s="33"/>
      <c r="AC607" s="10"/>
    </row>
    <row r="608" spans="1:29" s="11" customFormat="1" ht="12.5" hidden="1">
      <c r="A608" s="23"/>
      <c r="AA608" s="33"/>
      <c r="AC608" s="10"/>
    </row>
    <row r="609" spans="1:29" s="11" customFormat="1" ht="12.5" hidden="1">
      <c r="A609" s="23"/>
      <c r="AA609" s="33"/>
      <c r="AC609" s="10"/>
    </row>
    <row r="610" spans="1:29" s="11" customFormat="1" ht="12.5" hidden="1">
      <c r="A610" s="23"/>
      <c r="AA610" s="33"/>
      <c r="AC610" s="10"/>
    </row>
    <row r="611" spans="1:29" s="11" customFormat="1" ht="12.5" hidden="1">
      <c r="A611" s="23"/>
      <c r="AA611" s="33"/>
      <c r="AC611" s="10"/>
    </row>
    <row r="612" spans="1:29" s="11" customFormat="1" ht="12.5" hidden="1">
      <c r="A612" s="23"/>
      <c r="AA612" s="33"/>
      <c r="AC612" s="10"/>
    </row>
    <row r="613" spans="1:29" s="11" customFormat="1" ht="12.5" hidden="1">
      <c r="A613" s="23"/>
      <c r="AA613" s="33"/>
      <c r="AC613" s="10"/>
    </row>
    <row r="614" spans="1:29" s="11" customFormat="1" ht="12.5" hidden="1">
      <c r="A614" s="23"/>
      <c r="AA614" s="33"/>
      <c r="AC614" s="10"/>
    </row>
    <row r="615" spans="1:29" s="11" customFormat="1" ht="12.5" hidden="1">
      <c r="A615" s="23"/>
      <c r="AA615" s="33"/>
      <c r="AC615" s="10"/>
    </row>
    <row r="616" spans="1:29" s="11" customFormat="1" ht="12.5" hidden="1">
      <c r="A616" s="23"/>
      <c r="AA616" s="33"/>
      <c r="AC616" s="10"/>
    </row>
    <row r="617" spans="1:29" s="11" customFormat="1" ht="12.5" hidden="1">
      <c r="A617" s="23"/>
      <c r="AA617" s="33"/>
      <c r="AC617" s="10"/>
    </row>
    <row r="618" spans="1:29" s="11" customFormat="1" ht="12.5" hidden="1">
      <c r="A618" s="23"/>
      <c r="AA618" s="33"/>
      <c r="AC618" s="10"/>
    </row>
    <row r="619" spans="1:29" s="11" customFormat="1" ht="12.5" hidden="1">
      <c r="A619" s="23"/>
      <c r="AA619" s="33"/>
      <c r="AC619" s="10"/>
    </row>
    <row r="620" spans="1:29" s="11" customFormat="1" ht="12.5" hidden="1">
      <c r="A620" s="23"/>
      <c r="AA620" s="33"/>
      <c r="AC620" s="10"/>
    </row>
    <row r="621" spans="1:29" s="11" customFormat="1" ht="12.5" hidden="1">
      <c r="A621" s="23"/>
      <c r="AA621" s="33"/>
      <c r="AC621" s="10"/>
    </row>
    <row r="622" spans="1:29" s="11" customFormat="1" ht="12.5" hidden="1">
      <c r="A622" s="23"/>
      <c r="AA622" s="33"/>
      <c r="AC622" s="10"/>
    </row>
    <row r="623" spans="1:29" s="11" customFormat="1" ht="12.5" hidden="1">
      <c r="A623" s="23"/>
      <c r="AA623" s="33"/>
      <c r="AC623" s="10"/>
    </row>
    <row r="624" spans="1:29" s="11" customFormat="1" ht="12.5" hidden="1">
      <c r="A624" s="23"/>
      <c r="AA624" s="33"/>
      <c r="AC624" s="10"/>
    </row>
    <row r="625" spans="1:29" s="11" customFormat="1" ht="12.5" hidden="1">
      <c r="A625" s="23"/>
      <c r="AA625" s="33"/>
      <c r="AC625" s="10"/>
    </row>
    <row r="626" spans="1:29" s="11" customFormat="1" ht="12.5" hidden="1">
      <c r="A626" s="23"/>
      <c r="AA626" s="33"/>
      <c r="AC626" s="10"/>
    </row>
    <row r="627" spans="1:29" s="11" customFormat="1" ht="12.5" hidden="1">
      <c r="A627" s="23"/>
      <c r="AA627" s="33"/>
      <c r="AC627" s="10"/>
    </row>
    <row r="628" spans="1:29" s="11" customFormat="1" ht="12.5" hidden="1">
      <c r="A628" s="23"/>
      <c r="AA628" s="33"/>
      <c r="AC628" s="10"/>
    </row>
    <row r="629" spans="1:29" s="11" customFormat="1" ht="12.5" hidden="1">
      <c r="A629" s="23"/>
      <c r="AA629" s="33"/>
      <c r="AC629" s="10"/>
    </row>
    <row r="630" spans="1:29" s="11" customFormat="1" ht="12.5" hidden="1">
      <c r="A630" s="23"/>
      <c r="AA630" s="33"/>
      <c r="AC630" s="10"/>
    </row>
    <row r="631" spans="1:29" s="11" customFormat="1" ht="12.5" hidden="1">
      <c r="A631" s="23"/>
      <c r="AA631" s="33"/>
      <c r="AC631" s="10"/>
    </row>
    <row r="632" spans="1:29" s="11" customFormat="1" ht="12.5" hidden="1">
      <c r="A632" s="23"/>
      <c r="AA632" s="33"/>
      <c r="AC632" s="10"/>
    </row>
    <row r="633" spans="1:29" s="11" customFormat="1" ht="12.5" hidden="1">
      <c r="A633" s="23"/>
      <c r="AA633" s="33"/>
      <c r="AC633" s="10"/>
    </row>
    <row r="634" spans="1:29" s="11" customFormat="1" ht="12.5" hidden="1">
      <c r="A634" s="23"/>
      <c r="AA634" s="33"/>
      <c r="AC634" s="10"/>
    </row>
    <row r="635" spans="1:29" s="11" customFormat="1" ht="12.5" hidden="1">
      <c r="A635" s="23"/>
      <c r="AA635" s="33"/>
      <c r="AC635" s="10"/>
    </row>
    <row r="636" spans="1:29" s="11" customFormat="1" ht="12.5" hidden="1">
      <c r="A636" s="23"/>
      <c r="AA636" s="33"/>
      <c r="AC636" s="10"/>
    </row>
    <row r="637" spans="1:29" s="11" customFormat="1" ht="12.5" hidden="1">
      <c r="A637" s="23"/>
      <c r="AA637" s="33"/>
      <c r="AC637" s="10"/>
    </row>
    <row r="638" spans="1:29" s="11" customFormat="1" ht="12.5" hidden="1">
      <c r="A638" s="23"/>
      <c r="AA638" s="33"/>
      <c r="AC638" s="10"/>
    </row>
    <row r="639" spans="1:29" s="11" customFormat="1" ht="12.5" hidden="1">
      <c r="A639" s="23"/>
      <c r="AA639" s="33"/>
      <c r="AC639" s="10"/>
    </row>
    <row r="640" spans="1:29" s="11" customFormat="1" ht="12.5" hidden="1">
      <c r="A640" s="23"/>
      <c r="AA640" s="33"/>
      <c r="AC640" s="10"/>
    </row>
    <row r="641" spans="1:29" s="11" customFormat="1" ht="12.5" hidden="1">
      <c r="A641" s="23"/>
      <c r="AA641" s="33"/>
      <c r="AC641" s="10"/>
    </row>
    <row r="642" spans="1:29" s="11" customFormat="1" ht="12.5" hidden="1">
      <c r="A642" s="23"/>
      <c r="AA642" s="33"/>
      <c r="AC642" s="10"/>
    </row>
    <row r="643" spans="1:29" s="11" customFormat="1" ht="12.5" hidden="1">
      <c r="A643" s="23"/>
      <c r="AA643" s="33"/>
      <c r="AC643" s="10"/>
    </row>
    <row r="644" spans="1:29" s="11" customFormat="1" ht="12.5" hidden="1">
      <c r="A644" s="23"/>
      <c r="AA644" s="33"/>
      <c r="AC644" s="10"/>
    </row>
    <row r="645" spans="1:29" s="11" customFormat="1" ht="12.5" hidden="1">
      <c r="A645" s="23"/>
      <c r="AA645" s="33"/>
      <c r="AC645" s="10"/>
    </row>
    <row r="646" spans="1:29" s="11" customFormat="1" ht="12.5" hidden="1">
      <c r="A646" s="23"/>
      <c r="AA646" s="33"/>
      <c r="AC646" s="10"/>
    </row>
    <row r="647" spans="1:29" s="11" customFormat="1" ht="12.5" hidden="1">
      <c r="A647" s="23"/>
      <c r="AA647" s="33"/>
      <c r="AC647" s="10"/>
    </row>
    <row r="648" spans="1:29" s="11" customFormat="1" ht="12.5" hidden="1">
      <c r="A648" s="23"/>
      <c r="AA648" s="33"/>
      <c r="AC648" s="10"/>
    </row>
    <row r="649" spans="1:29" s="11" customFormat="1" ht="12.5" hidden="1">
      <c r="A649" s="23"/>
      <c r="AA649" s="33"/>
      <c r="AC649" s="10"/>
    </row>
    <row r="650" spans="1:29" s="11" customFormat="1" ht="12.5" hidden="1">
      <c r="A650" s="23"/>
      <c r="AA650" s="33"/>
      <c r="AC650" s="10"/>
    </row>
    <row r="651" spans="1:29" s="11" customFormat="1" ht="12.5" hidden="1">
      <c r="A651" s="23"/>
      <c r="AA651" s="33"/>
      <c r="AC651" s="10"/>
    </row>
    <row r="652" spans="1:29" s="11" customFormat="1" ht="12.5" hidden="1">
      <c r="A652" s="23"/>
      <c r="AA652" s="33"/>
      <c r="AC652" s="10"/>
    </row>
    <row r="653" spans="1:29" s="11" customFormat="1" ht="12.5" hidden="1">
      <c r="A653" s="23"/>
      <c r="AA653" s="33"/>
      <c r="AC653" s="10"/>
    </row>
    <row r="654" spans="1:29" s="11" customFormat="1" ht="12.5" hidden="1">
      <c r="A654" s="23"/>
      <c r="AA654" s="33"/>
      <c r="AC654" s="10"/>
    </row>
    <row r="655" spans="1:29" s="11" customFormat="1" ht="12.5" hidden="1">
      <c r="A655" s="23"/>
      <c r="AA655" s="33"/>
      <c r="AC655" s="10"/>
    </row>
    <row r="656" spans="1:29" s="11" customFormat="1" ht="12.5" hidden="1">
      <c r="A656" s="23"/>
      <c r="AA656" s="33"/>
      <c r="AC656" s="10"/>
    </row>
    <row r="657" spans="1:29" s="11" customFormat="1" ht="12.5" hidden="1">
      <c r="A657" s="23"/>
      <c r="AA657" s="33"/>
      <c r="AC657" s="10"/>
    </row>
    <row r="658" spans="1:29" s="11" customFormat="1" ht="12.5" hidden="1">
      <c r="A658" s="23"/>
      <c r="AA658" s="33"/>
      <c r="AC658" s="10"/>
    </row>
    <row r="659" spans="1:29" s="11" customFormat="1" ht="12.5" hidden="1">
      <c r="A659" s="23"/>
      <c r="AA659" s="33"/>
      <c r="AC659" s="10"/>
    </row>
    <row r="660" spans="1:29" s="11" customFormat="1" ht="12.5" hidden="1">
      <c r="A660" s="23"/>
      <c r="AA660" s="33"/>
      <c r="AC660" s="10"/>
    </row>
    <row r="661" spans="1:29" s="11" customFormat="1" ht="12.5" hidden="1">
      <c r="A661" s="23"/>
      <c r="AA661" s="33"/>
      <c r="AC661" s="10"/>
    </row>
    <row r="662" spans="1:29" s="11" customFormat="1" ht="12.5" hidden="1">
      <c r="A662" s="23"/>
      <c r="AA662" s="33"/>
      <c r="AC662" s="10"/>
    </row>
    <row r="663" spans="1:29" s="11" customFormat="1" ht="12.5" hidden="1">
      <c r="A663" s="23"/>
      <c r="AA663" s="33"/>
      <c r="AC663" s="10"/>
    </row>
    <row r="664" spans="1:29" s="11" customFormat="1" ht="12.5" hidden="1">
      <c r="A664" s="23"/>
      <c r="AA664" s="33"/>
      <c r="AC664" s="10"/>
    </row>
    <row r="665" spans="1:29" s="11" customFormat="1" ht="12.5" hidden="1">
      <c r="A665" s="23"/>
      <c r="AA665" s="33"/>
      <c r="AC665" s="10"/>
    </row>
    <row r="666" spans="1:29" s="11" customFormat="1" ht="12.5" hidden="1">
      <c r="A666" s="23"/>
      <c r="AA666" s="33"/>
      <c r="AC666" s="10"/>
    </row>
    <row r="667" spans="1:29" s="11" customFormat="1" ht="12.5" hidden="1">
      <c r="A667" s="23"/>
      <c r="AA667" s="33"/>
      <c r="AC667" s="10"/>
    </row>
    <row r="668" spans="1:29" s="11" customFormat="1" ht="12.5" hidden="1">
      <c r="A668" s="23"/>
      <c r="AA668" s="33"/>
      <c r="AC668" s="10"/>
    </row>
    <row r="669" spans="1:29" s="11" customFormat="1" ht="12.5" hidden="1">
      <c r="A669" s="23"/>
      <c r="AA669" s="33"/>
      <c r="AC669" s="10"/>
    </row>
    <row r="670" spans="1:29" s="11" customFormat="1" ht="12.5" hidden="1">
      <c r="A670" s="23"/>
      <c r="AA670" s="33"/>
      <c r="AC670" s="10"/>
    </row>
    <row r="671" spans="1:29" s="11" customFormat="1" ht="12.5" hidden="1">
      <c r="A671" s="23"/>
      <c r="AA671" s="33"/>
      <c r="AC671" s="10"/>
    </row>
    <row r="672" spans="1:29" s="11" customFormat="1" ht="12.5" hidden="1">
      <c r="A672" s="23"/>
      <c r="AA672" s="33"/>
      <c r="AC672" s="10"/>
    </row>
    <row r="673" spans="1:29" s="11" customFormat="1" ht="12.5" hidden="1">
      <c r="A673" s="23"/>
      <c r="AA673" s="33"/>
      <c r="AC673" s="10"/>
    </row>
    <row r="674" spans="1:29" s="11" customFormat="1" ht="12.5" hidden="1">
      <c r="A674" s="23"/>
      <c r="AA674" s="33"/>
      <c r="AC674" s="10"/>
    </row>
    <row r="675" spans="1:29" s="11" customFormat="1" ht="12.5" hidden="1">
      <c r="A675" s="23"/>
      <c r="AA675" s="33"/>
      <c r="AC675" s="10"/>
    </row>
    <row r="676" spans="1:29" s="11" customFormat="1" ht="12.5" hidden="1">
      <c r="A676" s="23"/>
      <c r="AA676" s="33"/>
      <c r="AC676" s="10"/>
    </row>
    <row r="677" spans="1:29" s="11" customFormat="1" ht="12.5" hidden="1">
      <c r="A677" s="23"/>
      <c r="AA677" s="33"/>
      <c r="AC677" s="10"/>
    </row>
    <row r="678" spans="1:29" s="11" customFormat="1" ht="12.5" hidden="1">
      <c r="A678" s="23"/>
      <c r="AA678" s="33"/>
      <c r="AC678" s="10"/>
    </row>
    <row r="679" spans="1:29" s="11" customFormat="1" ht="12.5" hidden="1">
      <c r="A679" s="23"/>
      <c r="AA679" s="33"/>
      <c r="AC679" s="10"/>
    </row>
    <row r="680" spans="1:29" s="11" customFormat="1" ht="12.5" hidden="1">
      <c r="A680" s="23"/>
      <c r="AA680" s="33"/>
      <c r="AC680" s="10"/>
    </row>
    <row r="681" spans="1:29" s="11" customFormat="1" ht="12.5" hidden="1">
      <c r="A681" s="23"/>
      <c r="AA681" s="33"/>
      <c r="AC681" s="10"/>
    </row>
    <row r="682" spans="1:29" s="11" customFormat="1" ht="12.5" hidden="1">
      <c r="A682" s="23"/>
      <c r="AA682" s="33"/>
      <c r="AC682" s="10"/>
    </row>
    <row r="683" spans="1:29" s="11" customFormat="1" ht="12.5" hidden="1">
      <c r="A683" s="23"/>
      <c r="AA683" s="33"/>
      <c r="AC683" s="10"/>
    </row>
    <row r="684" spans="1:29" s="11" customFormat="1" ht="12.5" hidden="1">
      <c r="A684" s="23"/>
      <c r="AA684" s="33"/>
      <c r="AC684" s="10"/>
    </row>
    <row r="685" spans="1:29" s="11" customFormat="1" ht="12.5" hidden="1">
      <c r="A685" s="23"/>
      <c r="AA685" s="33"/>
      <c r="AC685" s="10"/>
    </row>
    <row r="686" spans="1:29" s="11" customFormat="1" ht="12.5" hidden="1">
      <c r="A686" s="23"/>
      <c r="AA686" s="33"/>
      <c r="AC686" s="10"/>
    </row>
    <row r="687" spans="1:29" s="11" customFormat="1" ht="12.5" hidden="1">
      <c r="A687" s="23"/>
      <c r="AA687" s="33"/>
      <c r="AC687" s="10"/>
    </row>
    <row r="688" spans="1:29" s="11" customFormat="1" ht="12.5" hidden="1">
      <c r="A688" s="23"/>
      <c r="AA688" s="33"/>
      <c r="AC688" s="10"/>
    </row>
    <row r="689" spans="1:29" s="11" customFormat="1" ht="12.5" hidden="1">
      <c r="A689" s="23"/>
      <c r="AA689" s="33"/>
      <c r="AC689" s="10"/>
    </row>
    <row r="690" spans="1:29" s="11" customFormat="1" ht="12.5" hidden="1">
      <c r="A690" s="23"/>
      <c r="AA690" s="33"/>
      <c r="AC690" s="10"/>
    </row>
    <row r="691" spans="1:29" s="11" customFormat="1" ht="12.5" hidden="1">
      <c r="A691" s="23"/>
      <c r="AA691" s="33"/>
      <c r="AC691" s="10"/>
    </row>
    <row r="692" spans="1:29" s="11" customFormat="1" ht="12.5" hidden="1">
      <c r="A692" s="23"/>
      <c r="AA692" s="33"/>
      <c r="AC692" s="10"/>
    </row>
    <row r="693" spans="1:29" s="11" customFormat="1" ht="12.5" hidden="1">
      <c r="A693" s="23"/>
      <c r="AA693" s="33"/>
      <c r="AC693" s="10"/>
    </row>
    <row r="694" spans="1:29" s="11" customFormat="1" ht="12.5" hidden="1">
      <c r="A694" s="23"/>
      <c r="AA694" s="33"/>
      <c r="AC694" s="10"/>
    </row>
    <row r="695" spans="1:29" s="11" customFormat="1" ht="12.5" hidden="1">
      <c r="A695" s="23"/>
      <c r="AA695" s="33"/>
      <c r="AC695" s="10"/>
    </row>
    <row r="696" spans="1:29" s="11" customFormat="1" ht="12.5" hidden="1">
      <c r="A696" s="23"/>
      <c r="AA696" s="33"/>
      <c r="AC696" s="10"/>
    </row>
    <row r="697" spans="1:29" s="11" customFormat="1" ht="12.5" hidden="1">
      <c r="A697" s="23"/>
      <c r="AA697" s="33"/>
      <c r="AC697" s="10"/>
    </row>
    <row r="698" spans="1:29" s="11" customFormat="1" ht="12.5" hidden="1">
      <c r="A698" s="23"/>
      <c r="AA698" s="33"/>
      <c r="AC698" s="10"/>
    </row>
    <row r="699" spans="1:29" s="11" customFormat="1" ht="12.5" hidden="1">
      <c r="A699" s="23"/>
      <c r="AA699" s="33"/>
      <c r="AC699" s="10"/>
    </row>
    <row r="700" spans="1:29" s="11" customFormat="1" ht="12.5" hidden="1">
      <c r="A700" s="23"/>
      <c r="AA700" s="33"/>
      <c r="AC700" s="10"/>
    </row>
    <row r="701" spans="1:29" s="11" customFormat="1" ht="12.5" hidden="1">
      <c r="A701" s="23"/>
      <c r="AA701" s="33"/>
      <c r="AC701" s="10"/>
    </row>
    <row r="702" spans="1:29" s="11" customFormat="1" ht="12.5" hidden="1">
      <c r="A702" s="23"/>
      <c r="AA702" s="33"/>
      <c r="AC702" s="10"/>
    </row>
    <row r="703" spans="1:29" s="11" customFormat="1" ht="12.5" hidden="1">
      <c r="A703" s="23"/>
      <c r="AA703" s="33"/>
      <c r="AC703" s="10"/>
    </row>
    <row r="704" spans="1:29" s="11" customFormat="1" ht="12.5" hidden="1">
      <c r="A704" s="23"/>
      <c r="AA704" s="33"/>
      <c r="AC704" s="10"/>
    </row>
    <row r="705" spans="1:29" s="11" customFormat="1" ht="12.5" hidden="1">
      <c r="A705" s="23"/>
      <c r="AA705" s="33"/>
      <c r="AC705" s="10"/>
    </row>
    <row r="706" spans="1:29" s="11" customFormat="1" ht="12.5" hidden="1">
      <c r="A706" s="23"/>
      <c r="AA706" s="33"/>
      <c r="AC706" s="10"/>
    </row>
    <row r="707" spans="1:29" s="11" customFormat="1" ht="12.5" hidden="1">
      <c r="A707" s="23"/>
      <c r="AA707" s="33"/>
      <c r="AC707" s="10"/>
    </row>
    <row r="708" spans="1:29" s="11" customFormat="1" ht="12.5" hidden="1">
      <c r="A708" s="23"/>
      <c r="AA708" s="33"/>
      <c r="AC708" s="10"/>
    </row>
    <row r="709" spans="1:29" s="11" customFormat="1" ht="12.5" hidden="1">
      <c r="A709" s="23"/>
      <c r="AA709" s="33"/>
      <c r="AC709" s="10"/>
    </row>
    <row r="710" spans="1:29" s="11" customFormat="1" ht="12.5" hidden="1">
      <c r="A710" s="23"/>
      <c r="AA710" s="33"/>
      <c r="AC710" s="10"/>
    </row>
    <row r="711" spans="1:29" s="11" customFormat="1" ht="12.5" hidden="1">
      <c r="A711" s="23"/>
      <c r="AA711" s="33"/>
      <c r="AC711" s="10"/>
    </row>
    <row r="712" spans="1:29" s="11" customFormat="1" ht="12.5" hidden="1">
      <c r="A712" s="23"/>
      <c r="AA712" s="33"/>
      <c r="AC712" s="10"/>
    </row>
    <row r="713" spans="1:29" s="11" customFormat="1" ht="12.5" hidden="1">
      <c r="A713" s="23"/>
      <c r="AA713" s="33"/>
      <c r="AC713" s="10"/>
    </row>
    <row r="714" spans="1:29" s="11" customFormat="1" ht="12.5" hidden="1">
      <c r="A714" s="23"/>
      <c r="AA714" s="33"/>
      <c r="AC714" s="10"/>
    </row>
    <row r="715" spans="1:29" s="11" customFormat="1" ht="12.5" hidden="1">
      <c r="A715" s="23"/>
      <c r="AA715" s="33"/>
      <c r="AC715" s="10"/>
    </row>
    <row r="716" spans="1:29" s="11" customFormat="1" ht="12.5" hidden="1">
      <c r="A716" s="23"/>
      <c r="AA716" s="33"/>
      <c r="AC716" s="10"/>
    </row>
    <row r="717" spans="1:29" s="11" customFormat="1" ht="12.5" hidden="1">
      <c r="A717" s="23"/>
      <c r="AA717" s="33"/>
      <c r="AC717" s="10"/>
    </row>
    <row r="718" spans="1:29" s="11" customFormat="1" ht="12.5" hidden="1">
      <c r="A718" s="23"/>
      <c r="AA718" s="33"/>
      <c r="AC718" s="10"/>
    </row>
    <row r="719" spans="1:29" s="11" customFormat="1" ht="12.5" hidden="1">
      <c r="A719" s="23"/>
      <c r="AA719" s="33"/>
      <c r="AC719" s="10"/>
    </row>
    <row r="720" spans="1:29" s="11" customFormat="1" ht="12.5" hidden="1">
      <c r="A720" s="23"/>
      <c r="AA720" s="33"/>
      <c r="AC720" s="10"/>
    </row>
    <row r="721" spans="1:29" s="11" customFormat="1" ht="12.5" hidden="1">
      <c r="A721" s="23"/>
      <c r="AA721" s="33"/>
      <c r="AC721" s="10"/>
    </row>
    <row r="722" spans="1:29" s="11" customFormat="1" ht="12.5" hidden="1">
      <c r="A722" s="23"/>
      <c r="AA722" s="33"/>
      <c r="AC722" s="10"/>
    </row>
    <row r="723" spans="1:29" s="11" customFormat="1" ht="12.5" hidden="1">
      <c r="A723" s="23"/>
      <c r="AA723" s="33"/>
      <c r="AC723" s="10"/>
    </row>
    <row r="724" spans="1:29" s="11" customFormat="1" ht="12.5" hidden="1">
      <c r="A724" s="23"/>
      <c r="AA724" s="33"/>
      <c r="AC724" s="10"/>
    </row>
    <row r="725" spans="1:29" s="11" customFormat="1" ht="12.5" hidden="1">
      <c r="A725" s="23"/>
      <c r="AA725" s="33"/>
      <c r="AC725" s="10"/>
    </row>
    <row r="726" spans="1:29" s="11" customFormat="1" ht="12.5" hidden="1">
      <c r="A726" s="23"/>
      <c r="AA726" s="33"/>
      <c r="AC726" s="10"/>
    </row>
    <row r="727" spans="1:29" s="11" customFormat="1" ht="12.5" hidden="1">
      <c r="A727" s="23"/>
      <c r="AA727" s="33"/>
      <c r="AC727" s="10"/>
    </row>
    <row r="728" spans="1:29" s="11" customFormat="1" ht="12.5" hidden="1">
      <c r="A728" s="23"/>
      <c r="AA728" s="33"/>
      <c r="AC728" s="10"/>
    </row>
    <row r="729" spans="1:29" s="11" customFormat="1" ht="12.5" hidden="1">
      <c r="A729" s="23"/>
      <c r="AA729" s="33"/>
      <c r="AC729" s="10"/>
    </row>
    <row r="730" spans="1:29" s="11" customFormat="1" ht="12.5" hidden="1">
      <c r="A730" s="23"/>
      <c r="AA730" s="33"/>
      <c r="AC730" s="10"/>
    </row>
    <row r="731" spans="1:29" s="11" customFormat="1" ht="12.5" hidden="1">
      <c r="A731" s="23"/>
      <c r="AA731" s="33"/>
      <c r="AC731" s="10"/>
    </row>
    <row r="732" spans="1:29" s="11" customFormat="1" ht="12.5" hidden="1">
      <c r="A732" s="23"/>
      <c r="AA732" s="33"/>
      <c r="AC732" s="10"/>
    </row>
    <row r="733" spans="1:29" s="11" customFormat="1" ht="12.5" hidden="1">
      <c r="A733" s="23"/>
      <c r="AA733" s="33"/>
      <c r="AC733" s="10"/>
    </row>
    <row r="734" spans="1:29" s="11" customFormat="1" ht="12.5" hidden="1">
      <c r="A734" s="23"/>
      <c r="AA734" s="33"/>
      <c r="AC734" s="10"/>
    </row>
    <row r="735" spans="1:29" s="11" customFormat="1" ht="12.5" hidden="1">
      <c r="A735" s="23"/>
      <c r="AA735" s="33"/>
      <c r="AC735" s="10"/>
    </row>
    <row r="736" spans="1:29" s="11" customFormat="1" ht="12.5" hidden="1">
      <c r="A736" s="23"/>
      <c r="AA736" s="33"/>
      <c r="AC736" s="10"/>
    </row>
    <row r="737" spans="1:29" s="11" customFormat="1" ht="12.5" hidden="1">
      <c r="A737" s="23"/>
      <c r="AA737" s="33"/>
      <c r="AC737" s="10"/>
    </row>
    <row r="738" spans="1:29" s="11" customFormat="1" ht="12.5" hidden="1">
      <c r="A738" s="23"/>
      <c r="AA738" s="33"/>
      <c r="AC738" s="10"/>
    </row>
    <row r="739" spans="1:29" s="11" customFormat="1" ht="12.5" hidden="1">
      <c r="A739" s="23"/>
      <c r="AA739" s="33"/>
      <c r="AC739" s="10"/>
    </row>
    <row r="740" spans="1:29" s="11" customFormat="1" ht="12.5" hidden="1">
      <c r="A740" s="23"/>
      <c r="AA740" s="33"/>
      <c r="AC740" s="10"/>
    </row>
    <row r="741" spans="1:29" s="11" customFormat="1" ht="12.5" hidden="1">
      <c r="A741" s="23"/>
      <c r="AA741" s="33"/>
      <c r="AC741" s="10"/>
    </row>
    <row r="742" spans="1:29" s="11" customFormat="1" ht="12.5" hidden="1">
      <c r="A742" s="23"/>
      <c r="AA742" s="33"/>
      <c r="AC742" s="10"/>
    </row>
    <row r="743" spans="1:29" s="11" customFormat="1" ht="12.5" hidden="1">
      <c r="A743" s="23"/>
      <c r="AA743" s="33"/>
      <c r="AC743" s="10"/>
    </row>
    <row r="744" spans="1:29" s="11" customFormat="1" ht="12.5" hidden="1">
      <c r="A744" s="23"/>
      <c r="AA744" s="33"/>
      <c r="AC744" s="10"/>
    </row>
    <row r="745" spans="1:29" s="11" customFormat="1" ht="12.5" hidden="1">
      <c r="A745" s="23"/>
      <c r="AA745" s="33"/>
      <c r="AC745" s="10"/>
    </row>
    <row r="746" spans="1:29" s="11" customFormat="1" ht="12.5" hidden="1">
      <c r="A746" s="23"/>
      <c r="AA746" s="33"/>
      <c r="AC746" s="10"/>
    </row>
    <row r="747" spans="1:29" s="11" customFormat="1" ht="12.5" hidden="1">
      <c r="A747" s="23"/>
      <c r="AA747" s="33"/>
      <c r="AC747" s="10"/>
    </row>
    <row r="748" spans="1:29" s="11" customFormat="1" ht="12.5" hidden="1">
      <c r="A748" s="23"/>
      <c r="AA748" s="33"/>
      <c r="AC748" s="10"/>
    </row>
    <row r="749" spans="1:29" s="11" customFormat="1" ht="12.5" hidden="1">
      <c r="A749" s="23"/>
      <c r="AA749" s="33"/>
      <c r="AC749" s="10"/>
    </row>
    <row r="750" spans="1:29" s="11" customFormat="1" ht="12.5" hidden="1">
      <c r="A750" s="23"/>
      <c r="AA750" s="33"/>
      <c r="AC750" s="10"/>
    </row>
    <row r="751" spans="1:29" s="11" customFormat="1" ht="12.5" hidden="1">
      <c r="A751" s="23"/>
      <c r="AA751" s="33"/>
      <c r="AC751" s="10"/>
    </row>
    <row r="752" spans="1:29" s="11" customFormat="1" ht="12.5" hidden="1">
      <c r="A752" s="23"/>
      <c r="AA752" s="33"/>
      <c r="AC752" s="10"/>
    </row>
    <row r="753" spans="1:29" s="11" customFormat="1" ht="12.5" hidden="1">
      <c r="A753" s="23"/>
      <c r="AA753" s="33"/>
      <c r="AC753" s="10"/>
    </row>
    <row r="754" spans="1:29" s="11" customFormat="1" ht="12.5" hidden="1">
      <c r="A754" s="23"/>
      <c r="AA754" s="33"/>
      <c r="AC754" s="10"/>
    </row>
    <row r="755" spans="1:29" s="11" customFormat="1" ht="12.5" hidden="1">
      <c r="A755" s="23"/>
      <c r="AA755" s="33"/>
      <c r="AC755" s="10"/>
    </row>
    <row r="756" spans="1:29" s="11" customFormat="1" ht="12.5" hidden="1">
      <c r="A756" s="23"/>
      <c r="AA756" s="33"/>
      <c r="AC756" s="10"/>
    </row>
    <row r="757" spans="1:29" s="11" customFormat="1" ht="12.5" hidden="1">
      <c r="A757" s="23"/>
      <c r="AA757" s="33"/>
      <c r="AC757" s="10"/>
    </row>
    <row r="758" spans="1:29" s="11" customFormat="1" ht="12.5" hidden="1">
      <c r="A758" s="23"/>
      <c r="AA758" s="33"/>
      <c r="AC758" s="10"/>
    </row>
    <row r="759" spans="1:29" s="11" customFormat="1" ht="12.5" hidden="1">
      <c r="A759" s="23"/>
      <c r="AA759" s="33"/>
      <c r="AC759" s="10"/>
    </row>
    <row r="760" spans="1:29" s="11" customFormat="1" ht="12.5" hidden="1">
      <c r="A760" s="23"/>
      <c r="AA760" s="33"/>
      <c r="AC760" s="10"/>
    </row>
    <row r="761" spans="1:29" s="11" customFormat="1" ht="12.5" hidden="1">
      <c r="A761" s="23"/>
      <c r="AA761" s="33"/>
      <c r="AC761" s="10"/>
    </row>
    <row r="762" spans="1:29" s="11" customFormat="1" ht="12.5" hidden="1">
      <c r="A762" s="23"/>
      <c r="AA762" s="33"/>
      <c r="AC762" s="10"/>
    </row>
    <row r="763" spans="1:29" s="11" customFormat="1" ht="12.5" hidden="1">
      <c r="A763" s="23"/>
      <c r="AA763" s="33"/>
      <c r="AC763" s="10"/>
    </row>
    <row r="764" spans="1:29" s="11" customFormat="1" ht="12.5" hidden="1">
      <c r="A764" s="23"/>
      <c r="AA764" s="33"/>
      <c r="AC764" s="10"/>
    </row>
    <row r="765" spans="1:29" s="11" customFormat="1" ht="12.5" hidden="1">
      <c r="A765" s="23"/>
      <c r="AA765" s="33"/>
      <c r="AC765" s="10"/>
    </row>
    <row r="766" spans="1:29" s="11" customFormat="1" ht="12.5" hidden="1">
      <c r="A766" s="23"/>
      <c r="AA766" s="33"/>
      <c r="AC766" s="10"/>
    </row>
    <row r="767" spans="1:29" s="11" customFormat="1" ht="12.5" hidden="1">
      <c r="A767" s="23"/>
      <c r="AA767" s="33"/>
      <c r="AC767" s="10"/>
    </row>
    <row r="768" spans="1:29" s="11" customFormat="1" ht="12.5" hidden="1">
      <c r="A768" s="23"/>
      <c r="AA768" s="33"/>
      <c r="AC768" s="10"/>
    </row>
    <row r="769" spans="1:29" s="11" customFormat="1" ht="12.5" hidden="1">
      <c r="A769" s="23"/>
      <c r="AA769" s="33"/>
      <c r="AC769" s="10"/>
    </row>
    <row r="770" spans="1:29" s="11" customFormat="1" ht="12.5" hidden="1">
      <c r="A770" s="23"/>
      <c r="AA770" s="33"/>
      <c r="AC770" s="10"/>
    </row>
    <row r="771" spans="1:29" s="11" customFormat="1" ht="12.5" hidden="1">
      <c r="A771" s="23"/>
      <c r="AA771" s="33"/>
      <c r="AC771" s="10"/>
    </row>
    <row r="772" spans="1:29" s="11" customFormat="1" ht="12.5" hidden="1">
      <c r="A772" s="23"/>
      <c r="AA772" s="33"/>
      <c r="AC772" s="10"/>
    </row>
    <row r="773" spans="1:29" s="11" customFormat="1" ht="12.5" hidden="1">
      <c r="A773" s="23"/>
      <c r="AA773" s="33"/>
      <c r="AC773" s="10"/>
    </row>
    <row r="774" spans="1:29" s="11" customFormat="1" ht="12.5" hidden="1">
      <c r="A774" s="23"/>
      <c r="AA774" s="33"/>
      <c r="AC774" s="10"/>
    </row>
    <row r="775" spans="1:29" s="11" customFormat="1" ht="12.5" hidden="1">
      <c r="A775" s="23"/>
      <c r="AA775" s="33"/>
      <c r="AC775" s="10"/>
    </row>
    <row r="776" spans="1:29" s="11" customFormat="1" ht="12.5" hidden="1">
      <c r="A776" s="23"/>
      <c r="AA776" s="33"/>
      <c r="AC776" s="10"/>
    </row>
    <row r="777" spans="1:29" s="11" customFormat="1" ht="12.5" hidden="1">
      <c r="A777" s="23"/>
      <c r="AA777" s="33"/>
      <c r="AC777" s="10"/>
    </row>
    <row r="778" spans="1:29" s="11" customFormat="1" ht="12.5" hidden="1">
      <c r="A778" s="23"/>
      <c r="AA778" s="33"/>
      <c r="AC778" s="10"/>
    </row>
    <row r="779" spans="1:29" s="11" customFormat="1" ht="12.5" hidden="1">
      <c r="A779" s="23"/>
      <c r="AA779" s="33"/>
      <c r="AC779" s="10"/>
    </row>
    <row r="780" spans="1:29" s="11" customFormat="1" ht="12.5" hidden="1">
      <c r="A780" s="23"/>
      <c r="AA780" s="33"/>
      <c r="AC780" s="10"/>
    </row>
    <row r="781" spans="1:29" s="11" customFormat="1" ht="12.5" hidden="1">
      <c r="A781" s="23"/>
      <c r="AA781" s="33"/>
      <c r="AC781" s="10"/>
    </row>
    <row r="782" spans="1:29" s="11" customFormat="1" ht="12.5" hidden="1">
      <c r="A782" s="23"/>
      <c r="AA782" s="33"/>
      <c r="AC782" s="10"/>
    </row>
    <row r="783" spans="1:29" s="11" customFormat="1" ht="12.5" hidden="1">
      <c r="A783" s="23"/>
      <c r="AA783" s="33"/>
      <c r="AC783" s="10"/>
    </row>
    <row r="784" spans="1:29" s="11" customFormat="1" ht="12.5" hidden="1">
      <c r="A784" s="23"/>
      <c r="AA784" s="33"/>
      <c r="AC784" s="10"/>
    </row>
    <row r="785" spans="1:29" s="11" customFormat="1" ht="12.5" hidden="1">
      <c r="A785" s="23"/>
      <c r="AA785" s="33"/>
      <c r="AC785" s="10"/>
    </row>
    <row r="786" spans="1:29" s="11" customFormat="1" ht="12.5" hidden="1">
      <c r="A786" s="23"/>
      <c r="AA786" s="33"/>
      <c r="AC786" s="10"/>
    </row>
    <row r="787" spans="1:29" s="11" customFormat="1" ht="12.5" hidden="1">
      <c r="A787" s="23"/>
      <c r="AA787" s="33"/>
      <c r="AC787" s="10"/>
    </row>
    <row r="788" spans="1:29" s="11" customFormat="1" ht="12.5" hidden="1">
      <c r="A788" s="23"/>
      <c r="AA788" s="33"/>
      <c r="AC788" s="10"/>
    </row>
    <row r="789" spans="1:29" s="11" customFormat="1" ht="12.5" hidden="1">
      <c r="A789" s="23"/>
      <c r="AA789" s="33"/>
      <c r="AC789" s="10"/>
    </row>
    <row r="790" spans="1:29" s="11" customFormat="1" ht="12.5" hidden="1">
      <c r="A790" s="23"/>
      <c r="AA790" s="33"/>
      <c r="AC790" s="10"/>
    </row>
    <row r="791" spans="1:29" s="11" customFormat="1" ht="12.5" hidden="1">
      <c r="A791" s="23"/>
      <c r="AA791" s="33"/>
      <c r="AC791" s="10"/>
    </row>
    <row r="792" spans="1:29" s="11" customFormat="1" ht="12.5" hidden="1">
      <c r="A792" s="23"/>
      <c r="AA792" s="33"/>
      <c r="AC792" s="10"/>
    </row>
    <row r="793" spans="1:29" s="11" customFormat="1" ht="12.5" hidden="1">
      <c r="A793" s="23"/>
      <c r="AA793" s="33"/>
      <c r="AC793" s="10"/>
    </row>
    <row r="794" spans="1:29" s="11" customFormat="1" ht="12.5" hidden="1">
      <c r="A794" s="23"/>
      <c r="AA794" s="33"/>
      <c r="AC794" s="10"/>
    </row>
    <row r="795" spans="1:29" s="11" customFormat="1" ht="12.5" hidden="1">
      <c r="A795" s="23"/>
      <c r="AA795" s="33"/>
      <c r="AC795" s="10"/>
    </row>
    <row r="796" spans="1:29" s="11" customFormat="1" ht="12.5" hidden="1">
      <c r="A796" s="23"/>
      <c r="AA796" s="33"/>
      <c r="AC796" s="10"/>
    </row>
    <row r="797" spans="1:29" s="11" customFormat="1" ht="12.5" hidden="1">
      <c r="A797" s="23"/>
      <c r="AA797" s="33"/>
      <c r="AC797" s="10"/>
    </row>
    <row r="798" spans="1:29" s="11" customFormat="1" ht="12.5" hidden="1">
      <c r="A798" s="23"/>
      <c r="AA798" s="33"/>
      <c r="AC798" s="10"/>
    </row>
    <row r="799" spans="1:29" s="11" customFormat="1" ht="12.5" hidden="1">
      <c r="A799" s="23"/>
      <c r="AA799" s="33"/>
      <c r="AC799" s="10"/>
    </row>
    <row r="800" spans="1:29" s="11" customFormat="1" ht="12.5" hidden="1">
      <c r="A800" s="23"/>
      <c r="AA800" s="33"/>
      <c r="AC800" s="10"/>
    </row>
    <row r="801" spans="1:29" s="11" customFormat="1" ht="12.5" hidden="1">
      <c r="A801" s="23"/>
      <c r="AA801" s="33"/>
      <c r="AC801" s="10"/>
    </row>
    <row r="802" spans="1:29" s="11" customFormat="1" ht="12.5" hidden="1">
      <c r="A802" s="23"/>
      <c r="AA802" s="33"/>
      <c r="AC802" s="10"/>
    </row>
    <row r="803" spans="1:29" s="11" customFormat="1" ht="12.5" hidden="1">
      <c r="A803" s="23"/>
      <c r="AA803" s="33"/>
      <c r="AC803" s="10"/>
    </row>
    <row r="804" spans="1:29" s="11" customFormat="1" ht="12.5" hidden="1">
      <c r="A804" s="23"/>
      <c r="AA804" s="33"/>
      <c r="AC804" s="10"/>
    </row>
    <row r="805" spans="1:29" s="11" customFormat="1" ht="12.5" hidden="1">
      <c r="A805" s="23"/>
      <c r="AA805" s="33"/>
      <c r="AC805" s="10"/>
    </row>
    <row r="806" spans="1:29" s="11" customFormat="1" ht="12.5" hidden="1">
      <c r="A806" s="23"/>
      <c r="AA806" s="33"/>
      <c r="AC806" s="10"/>
    </row>
    <row r="807" spans="1:29" s="11" customFormat="1" ht="12.5" hidden="1">
      <c r="A807" s="23"/>
      <c r="AA807" s="33"/>
      <c r="AC807" s="10"/>
    </row>
    <row r="808" spans="1:29" s="11" customFormat="1" ht="12.5" hidden="1">
      <c r="A808" s="23"/>
      <c r="AA808" s="33"/>
      <c r="AC808" s="10"/>
    </row>
    <row r="809" spans="1:29" s="11" customFormat="1" ht="12.5" hidden="1">
      <c r="A809" s="23"/>
      <c r="AA809" s="33"/>
      <c r="AC809" s="10"/>
    </row>
    <row r="810" spans="1:29" s="11" customFormat="1" ht="12.5" hidden="1">
      <c r="A810" s="23"/>
      <c r="AA810" s="33"/>
      <c r="AC810" s="10"/>
    </row>
    <row r="811" spans="1:29" s="11" customFormat="1" ht="12.5" hidden="1">
      <c r="A811" s="23"/>
      <c r="AA811" s="33"/>
      <c r="AC811" s="10"/>
    </row>
    <row r="812" spans="1:29" s="11" customFormat="1" ht="12.5" hidden="1">
      <c r="A812" s="23"/>
      <c r="AA812" s="33"/>
      <c r="AC812" s="10"/>
    </row>
    <row r="813" spans="1:29" s="11" customFormat="1" ht="12.5" hidden="1">
      <c r="A813" s="23"/>
      <c r="AA813" s="33"/>
      <c r="AC813" s="10"/>
    </row>
    <row r="814" spans="1:29" s="11" customFormat="1" ht="12.5" hidden="1">
      <c r="A814" s="23"/>
      <c r="AA814" s="33"/>
      <c r="AC814" s="10"/>
    </row>
    <row r="815" spans="1:29" s="11" customFormat="1" ht="12.5" hidden="1">
      <c r="A815" s="23"/>
      <c r="AA815" s="33"/>
      <c r="AC815" s="10"/>
    </row>
    <row r="816" spans="1:29" s="11" customFormat="1" ht="12.5" hidden="1">
      <c r="A816" s="23"/>
      <c r="AA816" s="33"/>
      <c r="AC816" s="10"/>
    </row>
    <row r="817" spans="1:29" s="11" customFormat="1" ht="12.5" hidden="1">
      <c r="A817" s="23"/>
      <c r="AA817" s="33"/>
      <c r="AC817" s="10"/>
    </row>
    <row r="818" spans="1:29" s="11" customFormat="1" ht="12.5" hidden="1">
      <c r="A818" s="23"/>
      <c r="AA818" s="33"/>
      <c r="AC818" s="10"/>
    </row>
    <row r="819" spans="1:29" s="11" customFormat="1" ht="12.5" hidden="1">
      <c r="A819" s="23"/>
      <c r="AA819" s="33"/>
      <c r="AC819" s="10"/>
    </row>
    <row r="820" spans="1:29" s="11" customFormat="1" ht="12.5" hidden="1">
      <c r="A820" s="23"/>
      <c r="AA820" s="33"/>
      <c r="AC820" s="10"/>
    </row>
    <row r="821" spans="1:29" s="11" customFormat="1" ht="12.5" hidden="1">
      <c r="A821" s="23"/>
      <c r="AA821" s="33"/>
      <c r="AC821" s="10"/>
    </row>
    <row r="822" spans="1:29" s="11" customFormat="1" ht="12.5" hidden="1">
      <c r="A822" s="23"/>
      <c r="AA822" s="33"/>
      <c r="AC822" s="10"/>
    </row>
    <row r="823" spans="1:29" s="11" customFormat="1" ht="12.5" hidden="1">
      <c r="A823" s="23"/>
      <c r="AA823" s="33"/>
      <c r="AC823" s="10"/>
    </row>
    <row r="824" spans="1:29" s="11" customFormat="1" ht="12.5" hidden="1">
      <c r="A824" s="23"/>
      <c r="AA824" s="33"/>
      <c r="AC824" s="10"/>
    </row>
    <row r="825" spans="1:29" s="11" customFormat="1" ht="12.5" hidden="1">
      <c r="A825" s="23"/>
      <c r="AA825" s="33"/>
      <c r="AC825" s="10"/>
    </row>
    <row r="826" spans="1:29" s="11" customFormat="1" ht="12.5" hidden="1">
      <c r="A826" s="23"/>
      <c r="AA826" s="33"/>
      <c r="AC826" s="10"/>
    </row>
    <row r="827" spans="1:29" s="11" customFormat="1" ht="12.5" hidden="1">
      <c r="A827" s="23"/>
      <c r="AA827" s="33"/>
      <c r="AC827" s="10"/>
    </row>
    <row r="828" spans="1:29" s="11" customFormat="1" ht="12.5" hidden="1">
      <c r="A828" s="23"/>
      <c r="AA828" s="33"/>
      <c r="AC828" s="10"/>
    </row>
    <row r="829" spans="1:29" s="11" customFormat="1" ht="12.5" hidden="1">
      <c r="A829" s="23"/>
      <c r="AA829" s="33"/>
      <c r="AC829" s="10"/>
    </row>
    <row r="830" spans="1:29" s="11" customFormat="1" ht="12.5" hidden="1">
      <c r="A830" s="23"/>
      <c r="AA830" s="33"/>
      <c r="AC830" s="10"/>
    </row>
    <row r="831" spans="1:29" s="11" customFormat="1" ht="12.5" hidden="1">
      <c r="A831" s="23"/>
      <c r="AA831" s="33"/>
      <c r="AC831" s="10"/>
    </row>
    <row r="832" spans="1:29" s="11" customFormat="1" ht="12.5" hidden="1">
      <c r="A832" s="23"/>
      <c r="AA832" s="33"/>
      <c r="AC832" s="10"/>
    </row>
    <row r="833" spans="1:29" s="11" customFormat="1" ht="12.5" hidden="1">
      <c r="A833" s="23"/>
      <c r="AA833" s="33"/>
      <c r="AC833" s="10"/>
    </row>
    <row r="834" spans="1:29" s="11" customFormat="1" ht="12.5" hidden="1">
      <c r="A834" s="23"/>
      <c r="AA834" s="33"/>
      <c r="AC834" s="10"/>
    </row>
    <row r="835" spans="1:29" s="11" customFormat="1" ht="12.5" hidden="1">
      <c r="A835" s="23"/>
      <c r="AA835" s="33"/>
      <c r="AC835" s="10"/>
    </row>
    <row r="836" spans="1:29" s="11" customFormat="1" ht="12.5" hidden="1">
      <c r="A836" s="23"/>
      <c r="AA836" s="33"/>
      <c r="AC836" s="10"/>
    </row>
    <row r="837" spans="1:29" s="11" customFormat="1" ht="12.5" hidden="1">
      <c r="A837" s="23"/>
      <c r="AA837" s="33"/>
      <c r="AC837" s="10"/>
    </row>
    <row r="838" spans="1:29" s="11" customFormat="1" ht="12.5" hidden="1">
      <c r="A838" s="23"/>
      <c r="AA838" s="33"/>
      <c r="AC838" s="10"/>
    </row>
    <row r="839" spans="1:29" s="11" customFormat="1" ht="12.5" hidden="1">
      <c r="A839" s="23"/>
      <c r="AA839" s="33"/>
      <c r="AC839" s="10"/>
    </row>
    <row r="840" spans="1:29" s="11" customFormat="1" ht="12.5" hidden="1">
      <c r="A840" s="23"/>
      <c r="AA840" s="33"/>
      <c r="AC840" s="10"/>
    </row>
    <row r="841" spans="1:29" s="11" customFormat="1" ht="12.5" hidden="1">
      <c r="A841" s="23"/>
      <c r="AA841" s="33"/>
      <c r="AC841" s="10"/>
    </row>
    <row r="842" spans="1:29" s="11" customFormat="1" ht="12.5" hidden="1">
      <c r="A842" s="23"/>
      <c r="AA842" s="33"/>
      <c r="AC842" s="10"/>
    </row>
    <row r="843" spans="1:29" s="11" customFormat="1" ht="12.5" hidden="1">
      <c r="A843" s="23"/>
      <c r="AA843" s="33"/>
      <c r="AC843" s="10"/>
    </row>
    <row r="844" spans="1:29" s="11" customFormat="1" ht="12.5" hidden="1">
      <c r="A844" s="23"/>
      <c r="AA844" s="33"/>
      <c r="AC844" s="10"/>
    </row>
    <row r="845" spans="1:29" s="11" customFormat="1" ht="12.5" hidden="1">
      <c r="A845" s="23"/>
      <c r="AA845" s="33"/>
      <c r="AC845" s="10"/>
    </row>
    <row r="846" spans="1:29" s="11" customFormat="1" ht="12.5" hidden="1">
      <c r="A846" s="23"/>
      <c r="AA846" s="33"/>
      <c r="AC846" s="10"/>
    </row>
    <row r="847" spans="1:29" s="11" customFormat="1" ht="12.5" hidden="1">
      <c r="A847" s="23"/>
      <c r="AA847" s="33"/>
      <c r="AC847" s="10"/>
    </row>
    <row r="848" spans="1:29" s="11" customFormat="1" ht="12.5" hidden="1">
      <c r="A848" s="23"/>
      <c r="AA848" s="33"/>
      <c r="AC848" s="10"/>
    </row>
    <row r="849" spans="1:29" s="11" customFormat="1" ht="12.5" hidden="1">
      <c r="A849" s="23"/>
      <c r="AA849" s="33"/>
      <c r="AC849" s="10"/>
    </row>
    <row r="850" spans="1:29" s="11" customFormat="1" ht="12.5" hidden="1">
      <c r="A850" s="23"/>
      <c r="AA850" s="33"/>
      <c r="AC850" s="10"/>
    </row>
    <row r="851" spans="1:29" s="11" customFormat="1" ht="12.5" hidden="1">
      <c r="A851" s="23"/>
      <c r="AA851" s="33"/>
      <c r="AC851" s="10"/>
    </row>
    <row r="852" spans="1:29" s="11" customFormat="1" ht="12.5" hidden="1">
      <c r="A852" s="23"/>
      <c r="AA852" s="33"/>
      <c r="AC852" s="10"/>
    </row>
    <row r="853" spans="1:29" s="11" customFormat="1" ht="12.5" hidden="1">
      <c r="A853" s="23"/>
      <c r="AA853" s="33"/>
      <c r="AC853" s="10"/>
    </row>
    <row r="854" spans="1:29" s="11" customFormat="1" ht="12.5" hidden="1">
      <c r="A854" s="23"/>
      <c r="AA854" s="33"/>
      <c r="AC854" s="10"/>
    </row>
    <row r="855" spans="1:29" s="11" customFormat="1" ht="12.5" hidden="1">
      <c r="A855" s="23"/>
      <c r="AA855" s="33"/>
      <c r="AC855" s="10"/>
    </row>
    <row r="856" spans="1:29" s="11" customFormat="1" ht="12.5" hidden="1">
      <c r="A856" s="23"/>
      <c r="AA856" s="33"/>
      <c r="AC856" s="10"/>
    </row>
    <row r="857" spans="1:29" s="11" customFormat="1" ht="12.5" hidden="1">
      <c r="A857" s="23"/>
      <c r="AA857" s="33"/>
      <c r="AC857" s="10"/>
    </row>
    <row r="858" spans="1:29" s="11" customFormat="1" ht="12.5" hidden="1">
      <c r="A858" s="23"/>
      <c r="AA858" s="33"/>
      <c r="AC858" s="10"/>
    </row>
    <row r="859" spans="1:29" s="11" customFormat="1" ht="12.5" hidden="1">
      <c r="A859" s="23"/>
      <c r="AA859" s="33"/>
      <c r="AC859" s="10"/>
    </row>
    <row r="860" spans="1:29" s="11" customFormat="1" ht="12.5" hidden="1">
      <c r="A860" s="23"/>
      <c r="AA860" s="33"/>
      <c r="AC860" s="10"/>
    </row>
    <row r="861" spans="1:29" s="11" customFormat="1" ht="12.5" hidden="1">
      <c r="A861" s="23"/>
      <c r="AA861" s="33"/>
      <c r="AC861" s="10"/>
    </row>
    <row r="862" spans="1:29" s="11" customFormat="1" ht="12.5" hidden="1">
      <c r="A862" s="23"/>
      <c r="AA862" s="33"/>
      <c r="AC862" s="10"/>
    </row>
    <row r="863" spans="1:29" s="11" customFormat="1" ht="12.5" hidden="1">
      <c r="A863" s="23"/>
      <c r="AA863" s="33"/>
      <c r="AC863" s="10"/>
    </row>
    <row r="864" spans="1:29" s="11" customFormat="1" ht="12.5" hidden="1">
      <c r="A864" s="23"/>
      <c r="AA864" s="33"/>
      <c r="AC864" s="10"/>
    </row>
    <row r="865" spans="1:29" s="11" customFormat="1" ht="12.5" hidden="1">
      <c r="A865" s="23"/>
      <c r="AA865" s="33"/>
      <c r="AC865" s="10"/>
    </row>
    <row r="866" spans="1:29" s="11" customFormat="1" ht="12.5" hidden="1">
      <c r="A866" s="23"/>
      <c r="AA866" s="33"/>
      <c r="AC866" s="10"/>
    </row>
    <row r="867" spans="1:29" s="11" customFormat="1" ht="12.5" hidden="1">
      <c r="A867" s="23"/>
      <c r="AA867" s="33"/>
      <c r="AC867" s="10"/>
    </row>
    <row r="868" spans="1:29" s="11" customFormat="1" ht="12.5" hidden="1">
      <c r="A868" s="23"/>
      <c r="AA868" s="33"/>
      <c r="AC868" s="10"/>
    </row>
    <row r="869" spans="1:29" s="11" customFormat="1" ht="12.5" hidden="1">
      <c r="A869" s="23"/>
      <c r="AA869" s="33"/>
      <c r="AC869" s="10"/>
    </row>
    <row r="870" spans="1:29" s="11" customFormat="1" ht="12.5" hidden="1">
      <c r="A870" s="23"/>
      <c r="AA870" s="33"/>
      <c r="AC870" s="10"/>
    </row>
    <row r="871" spans="1:29" s="11" customFormat="1" ht="12.5" hidden="1">
      <c r="A871" s="23"/>
      <c r="AA871" s="33"/>
      <c r="AC871" s="10"/>
    </row>
    <row r="872" spans="1:29" s="11" customFormat="1" ht="12.5" hidden="1">
      <c r="A872" s="23"/>
      <c r="AA872" s="33"/>
      <c r="AC872" s="10"/>
    </row>
    <row r="873" spans="1:29" s="11" customFormat="1" ht="12.5" hidden="1">
      <c r="A873" s="23"/>
      <c r="AA873" s="33"/>
      <c r="AC873" s="10"/>
    </row>
    <row r="874" spans="1:29" s="11" customFormat="1" ht="12.5" hidden="1">
      <c r="A874" s="23"/>
      <c r="AA874" s="33"/>
      <c r="AC874" s="10"/>
    </row>
    <row r="875" spans="1:29" s="11" customFormat="1" ht="12.5" hidden="1">
      <c r="A875" s="23"/>
      <c r="AA875" s="33"/>
      <c r="AC875" s="10"/>
    </row>
    <row r="876" spans="1:29" s="11" customFormat="1" ht="12.5" hidden="1">
      <c r="A876" s="23"/>
      <c r="AA876" s="33"/>
      <c r="AC876" s="10"/>
    </row>
    <row r="877" spans="1:29" s="11" customFormat="1" ht="12.5" hidden="1">
      <c r="A877" s="23"/>
      <c r="AA877" s="33"/>
      <c r="AC877" s="10"/>
    </row>
    <row r="878" spans="1:29" s="11" customFormat="1" ht="12.5" hidden="1">
      <c r="A878" s="23"/>
      <c r="AA878" s="33"/>
      <c r="AC878" s="10"/>
    </row>
    <row r="879" spans="1:29" s="11" customFormat="1" ht="12.5" hidden="1">
      <c r="A879" s="23"/>
      <c r="AA879" s="33"/>
      <c r="AC879" s="10"/>
    </row>
    <row r="880" spans="1:29" s="11" customFormat="1" ht="12.5" hidden="1">
      <c r="A880" s="23"/>
      <c r="AA880" s="33"/>
      <c r="AC880" s="10"/>
    </row>
    <row r="881" spans="1:29" s="11" customFormat="1" ht="12.5" hidden="1">
      <c r="A881" s="23"/>
      <c r="AA881" s="33"/>
      <c r="AC881" s="10"/>
    </row>
    <row r="882" spans="1:29" s="11" customFormat="1" ht="12.5" hidden="1">
      <c r="A882" s="23"/>
      <c r="AA882" s="33"/>
      <c r="AC882" s="10"/>
    </row>
    <row r="883" spans="1:29" s="11" customFormat="1" ht="12.5" hidden="1">
      <c r="A883" s="23"/>
      <c r="AA883" s="33"/>
      <c r="AC883" s="10"/>
    </row>
    <row r="884" spans="1:29" s="11" customFormat="1" ht="12.5" hidden="1">
      <c r="A884" s="23"/>
      <c r="AA884" s="33"/>
      <c r="AC884" s="10"/>
    </row>
    <row r="885" spans="1:29" s="11" customFormat="1" ht="12.5" hidden="1">
      <c r="A885" s="23"/>
      <c r="AA885" s="33"/>
      <c r="AC885" s="10"/>
    </row>
    <row r="886" spans="1:29" s="11" customFormat="1" ht="12.5" hidden="1">
      <c r="A886" s="23"/>
      <c r="AA886" s="33"/>
      <c r="AC886" s="10"/>
    </row>
    <row r="887" spans="1:29" s="11" customFormat="1" ht="12.5" hidden="1">
      <c r="A887" s="23"/>
      <c r="AA887" s="33"/>
      <c r="AC887" s="10"/>
    </row>
    <row r="888" spans="1:29" s="11" customFormat="1" ht="12.5" hidden="1">
      <c r="A888" s="23"/>
      <c r="AA888" s="33"/>
      <c r="AC888" s="10"/>
    </row>
    <row r="889" spans="1:29" s="11" customFormat="1" ht="12.5" hidden="1">
      <c r="A889" s="23"/>
      <c r="AA889" s="33"/>
      <c r="AC889" s="10"/>
    </row>
    <row r="890" spans="1:29" s="11" customFormat="1" ht="12.5" hidden="1">
      <c r="A890" s="23"/>
      <c r="AA890" s="33"/>
      <c r="AC890" s="10"/>
    </row>
    <row r="891" spans="1:29" s="11" customFormat="1" ht="12.5" hidden="1">
      <c r="A891" s="23"/>
      <c r="AA891" s="33"/>
      <c r="AC891" s="10"/>
    </row>
    <row r="892" spans="1:29" s="11" customFormat="1" ht="12.5" hidden="1">
      <c r="A892" s="23"/>
      <c r="AA892" s="33"/>
      <c r="AC892" s="10"/>
    </row>
    <row r="893" spans="1:29" s="11" customFormat="1" ht="12.5" hidden="1">
      <c r="A893" s="23"/>
      <c r="AA893" s="33"/>
      <c r="AC893" s="10"/>
    </row>
    <row r="894" spans="1:29" s="11" customFormat="1" ht="12.5" hidden="1">
      <c r="A894" s="23"/>
      <c r="AA894" s="33"/>
      <c r="AC894" s="10"/>
    </row>
    <row r="895" spans="1:29" s="11" customFormat="1" ht="12.5" hidden="1">
      <c r="A895" s="23"/>
      <c r="AA895" s="33"/>
      <c r="AC895" s="10"/>
    </row>
    <row r="896" spans="1:29" s="11" customFormat="1" ht="12.5" hidden="1">
      <c r="A896" s="23"/>
      <c r="AA896" s="33"/>
      <c r="AC896" s="10"/>
    </row>
    <row r="897" spans="1:29" s="11" customFormat="1" ht="12.5" hidden="1">
      <c r="A897" s="23"/>
      <c r="AA897" s="33"/>
      <c r="AC897" s="10"/>
    </row>
    <row r="898" spans="1:29" s="11" customFormat="1" ht="12.5" hidden="1">
      <c r="A898" s="23"/>
      <c r="AA898" s="33"/>
      <c r="AC898" s="10"/>
    </row>
    <row r="899" spans="1:29" s="11" customFormat="1" ht="12.5" hidden="1">
      <c r="A899" s="23"/>
      <c r="AA899" s="33"/>
      <c r="AC899" s="10"/>
    </row>
    <row r="900" spans="1:29" s="11" customFormat="1" ht="12.5" hidden="1">
      <c r="A900" s="23"/>
      <c r="AA900" s="33"/>
      <c r="AC900" s="10"/>
    </row>
    <row r="901" spans="1:29" s="11" customFormat="1" ht="12.5" hidden="1">
      <c r="A901" s="23"/>
      <c r="AA901" s="33"/>
      <c r="AC901" s="10"/>
    </row>
    <row r="902" spans="1:29" s="11" customFormat="1" ht="12.5" hidden="1">
      <c r="A902" s="23"/>
      <c r="AA902" s="33"/>
      <c r="AC902" s="10"/>
    </row>
    <row r="903" spans="1:29" s="11" customFormat="1" ht="12.5" hidden="1">
      <c r="A903" s="23"/>
      <c r="AA903" s="33"/>
      <c r="AC903" s="10"/>
    </row>
    <row r="904" spans="1:29" s="11" customFormat="1" ht="12.5" hidden="1">
      <c r="A904" s="23"/>
      <c r="AA904" s="33"/>
      <c r="AC904" s="10"/>
    </row>
    <row r="905" spans="1:29" s="11" customFormat="1" ht="12.5" hidden="1">
      <c r="A905" s="23"/>
      <c r="AA905" s="33"/>
      <c r="AC905" s="10"/>
    </row>
    <row r="906" spans="1:29" s="11" customFormat="1" ht="12.5" hidden="1">
      <c r="A906" s="23"/>
      <c r="AA906" s="33"/>
      <c r="AC906" s="10"/>
    </row>
    <row r="907" spans="1:29" s="11" customFormat="1" ht="12.5" hidden="1">
      <c r="A907" s="23"/>
      <c r="AA907" s="33"/>
      <c r="AC907" s="10"/>
    </row>
    <row r="908" spans="1:29" s="11" customFormat="1" ht="12.5" hidden="1">
      <c r="A908" s="23"/>
      <c r="AA908" s="33"/>
      <c r="AC908" s="10"/>
    </row>
    <row r="909" spans="1:29" s="11" customFormat="1" ht="12.5" hidden="1">
      <c r="A909" s="23"/>
      <c r="AA909" s="33"/>
      <c r="AC909" s="10"/>
    </row>
    <row r="910" spans="1:29" s="11" customFormat="1" ht="12.5" hidden="1">
      <c r="A910" s="23"/>
      <c r="AA910" s="33"/>
      <c r="AC910" s="10"/>
    </row>
    <row r="911" spans="1:29" s="11" customFormat="1" ht="12.5" hidden="1">
      <c r="A911" s="23"/>
      <c r="AA911" s="33"/>
      <c r="AC911" s="10"/>
    </row>
    <row r="912" spans="1:29" s="11" customFormat="1" ht="12.5" hidden="1">
      <c r="A912" s="23"/>
      <c r="AA912" s="33"/>
      <c r="AC912" s="10"/>
    </row>
    <row r="913" spans="1:29" s="11" customFormat="1" ht="12.5" hidden="1">
      <c r="A913" s="23"/>
      <c r="AA913" s="33"/>
      <c r="AC913" s="10"/>
    </row>
    <row r="914" spans="1:29" s="11" customFormat="1" ht="12.5" hidden="1">
      <c r="A914" s="23"/>
      <c r="AA914" s="33"/>
      <c r="AC914" s="10"/>
    </row>
    <row r="915" spans="1:29" s="11" customFormat="1" ht="12.5" hidden="1">
      <c r="A915" s="23"/>
      <c r="AA915" s="33"/>
      <c r="AC915" s="10"/>
    </row>
    <row r="916" spans="1:29" s="11" customFormat="1" ht="12.5" hidden="1">
      <c r="A916" s="23"/>
      <c r="AA916" s="33"/>
      <c r="AC916" s="10"/>
    </row>
    <row r="917" spans="1:29" s="11" customFormat="1" ht="12.5" hidden="1">
      <c r="A917" s="23"/>
      <c r="AA917" s="33"/>
      <c r="AC917" s="10"/>
    </row>
    <row r="918" spans="1:29" s="11" customFormat="1" ht="12.5" hidden="1">
      <c r="A918" s="23"/>
      <c r="AA918" s="33"/>
      <c r="AC918" s="10"/>
    </row>
    <row r="919" spans="1:29" s="11" customFormat="1" ht="12.5" hidden="1">
      <c r="A919" s="23"/>
      <c r="AA919" s="33"/>
      <c r="AC919" s="10"/>
    </row>
    <row r="920" spans="1:29" s="11" customFormat="1" ht="12.5" hidden="1">
      <c r="A920" s="23"/>
      <c r="AA920" s="33"/>
      <c r="AC920" s="10"/>
    </row>
    <row r="921" spans="1:29" s="11" customFormat="1" ht="12.5" hidden="1">
      <c r="A921" s="23"/>
      <c r="AA921" s="33"/>
      <c r="AC921" s="10"/>
    </row>
    <row r="922" spans="1:29" s="11" customFormat="1" ht="12.5" hidden="1">
      <c r="A922" s="23"/>
      <c r="AA922" s="33"/>
      <c r="AC922" s="10"/>
    </row>
    <row r="923" spans="1:29" s="11" customFormat="1" ht="12.5" hidden="1">
      <c r="A923" s="23"/>
      <c r="AA923" s="33"/>
      <c r="AC923" s="10"/>
    </row>
    <row r="924" spans="1:29" s="11" customFormat="1" ht="12.5" hidden="1">
      <c r="A924" s="23"/>
      <c r="AA924" s="33"/>
      <c r="AC924" s="10"/>
    </row>
    <row r="925" spans="1:29" s="11" customFormat="1" ht="12.5" hidden="1">
      <c r="A925" s="23"/>
      <c r="AA925" s="33"/>
      <c r="AC925" s="10"/>
    </row>
    <row r="926" spans="1:29" s="11" customFormat="1" ht="12.5" hidden="1">
      <c r="A926" s="23"/>
      <c r="AA926" s="33"/>
      <c r="AC926" s="10"/>
    </row>
    <row r="927" spans="1:29" s="11" customFormat="1" ht="12.5" hidden="1">
      <c r="A927" s="23"/>
      <c r="AA927" s="33"/>
      <c r="AC927" s="10"/>
    </row>
    <row r="928" spans="1:29" s="11" customFormat="1" ht="12.5" hidden="1">
      <c r="A928" s="23"/>
      <c r="AA928" s="33"/>
      <c r="AC928" s="10"/>
    </row>
    <row r="929" spans="1:29" s="11" customFormat="1" ht="12.5" hidden="1">
      <c r="A929" s="23"/>
      <c r="AA929" s="33"/>
      <c r="AC929" s="10"/>
    </row>
    <row r="930" spans="1:29" s="11" customFormat="1" ht="12.5" hidden="1">
      <c r="A930" s="23"/>
      <c r="AA930" s="33"/>
      <c r="AC930" s="10"/>
    </row>
    <row r="931" spans="1:29" s="11" customFormat="1" ht="12.5" hidden="1">
      <c r="A931" s="23"/>
      <c r="AA931" s="33"/>
      <c r="AC931" s="10"/>
    </row>
    <row r="932" spans="1:29" s="11" customFormat="1" ht="12.5" hidden="1">
      <c r="A932" s="23"/>
      <c r="AA932" s="33"/>
      <c r="AC932" s="10"/>
    </row>
    <row r="933" spans="1:29" s="11" customFormat="1" ht="12.5" hidden="1">
      <c r="A933" s="23"/>
      <c r="AA933" s="33"/>
      <c r="AC933" s="10"/>
    </row>
    <row r="934" spans="1:29" s="11" customFormat="1" ht="12.5" hidden="1">
      <c r="A934" s="23"/>
      <c r="AA934" s="33"/>
      <c r="AC934" s="10"/>
    </row>
    <row r="935" spans="1:29" s="11" customFormat="1" ht="12.5" hidden="1">
      <c r="A935" s="23"/>
      <c r="AA935" s="33"/>
      <c r="AC935" s="10"/>
    </row>
    <row r="936" spans="1:29" s="11" customFormat="1" ht="12.5" hidden="1">
      <c r="A936" s="23"/>
      <c r="AA936" s="33"/>
      <c r="AC936" s="10"/>
    </row>
    <row r="937" spans="1:29" s="11" customFormat="1" ht="12.5" hidden="1">
      <c r="A937" s="23"/>
      <c r="AA937" s="33"/>
      <c r="AC937" s="10"/>
    </row>
    <row r="938" spans="1:29" s="11" customFormat="1" ht="12.5" hidden="1">
      <c r="A938" s="23"/>
      <c r="AA938" s="33"/>
      <c r="AC938" s="10"/>
    </row>
    <row r="939" spans="1:29" s="11" customFormat="1" ht="12.5" hidden="1">
      <c r="A939" s="23"/>
      <c r="AA939" s="33"/>
      <c r="AC939" s="10"/>
    </row>
    <row r="940" spans="1:29" s="11" customFormat="1" ht="12.5" hidden="1">
      <c r="A940" s="23"/>
      <c r="AA940" s="33"/>
      <c r="AC940" s="10"/>
    </row>
    <row r="941" spans="1:29" s="11" customFormat="1" ht="12.5" hidden="1">
      <c r="A941" s="23"/>
      <c r="AA941" s="33"/>
      <c r="AC941" s="10"/>
    </row>
    <row r="942" spans="1:29" s="11" customFormat="1" ht="12.5" hidden="1">
      <c r="A942" s="23"/>
      <c r="AA942" s="33"/>
      <c r="AC942" s="10"/>
    </row>
    <row r="943" spans="1:29" s="11" customFormat="1" ht="12.5" hidden="1">
      <c r="A943" s="23"/>
      <c r="AA943" s="33"/>
      <c r="AC943" s="10"/>
    </row>
    <row r="944" spans="1:29" s="11" customFormat="1" ht="12.5" hidden="1">
      <c r="A944" s="23"/>
      <c r="AA944" s="33"/>
      <c r="AC944" s="10"/>
    </row>
    <row r="945" spans="1:29" s="11" customFormat="1" ht="12.5" hidden="1">
      <c r="A945" s="23"/>
      <c r="AA945" s="33"/>
      <c r="AC945" s="10"/>
    </row>
    <row r="946" spans="1:29" s="11" customFormat="1" ht="12.5" hidden="1">
      <c r="A946" s="23"/>
      <c r="AA946" s="33"/>
      <c r="AC946" s="10"/>
    </row>
    <row r="947" spans="1:29" s="11" customFormat="1" ht="12.5" hidden="1">
      <c r="A947" s="23"/>
      <c r="AA947" s="33"/>
      <c r="AC947" s="10"/>
    </row>
    <row r="948" spans="1:29" s="11" customFormat="1" ht="12.5" hidden="1">
      <c r="A948" s="23"/>
      <c r="AA948" s="33"/>
      <c r="AC948" s="10"/>
    </row>
    <row r="949" spans="1:29" s="11" customFormat="1" ht="12.5" hidden="1">
      <c r="A949" s="23"/>
      <c r="AA949" s="33"/>
      <c r="AC949" s="10"/>
    </row>
    <row r="950" spans="1:29" s="11" customFormat="1" ht="12.5" hidden="1">
      <c r="A950" s="23"/>
      <c r="AA950" s="33"/>
      <c r="AC950" s="10"/>
    </row>
    <row r="951" spans="1:29" s="11" customFormat="1" ht="12.5" hidden="1">
      <c r="A951" s="23"/>
      <c r="AA951" s="33"/>
      <c r="AC951" s="10"/>
    </row>
    <row r="952" spans="1:29" s="11" customFormat="1" ht="12.5" hidden="1">
      <c r="A952" s="23"/>
      <c r="AA952" s="33"/>
      <c r="AC952" s="10"/>
    </row>
    <row r="953" spans="1:29" s="11" customFormat="1" ht="12.5" hidden="1">
      <c r="A953" s="23"/>
      <c r="AA953" s="33"/>
      <c r="AC953" s="10"/>
    </row>
    <row r="954" spans="1:29" s="11" customFormat="1" ht="12.5" hidden="1">
      <c r="A954" s="23"/>
      <c r="AA954" s="33"/>
      <c r="AC954" s="10"/>
    </row>
    <row r="955" spans="1:29" s="11" customFormat="1" ht="12.5" hidden="1">
      <c r="A955" s="23"/>
      <c r="AA955" s="33"/>
      <c r="AC955" s="10"/>
    </row>
    <row r="956" spans="1:29" s="11" customFormat="1" ht="12.5" hidden="1">
      <c r="A956" s="23"/>
      <c r="AA956" s="33"/>
      <c r="AC956" s="10"/>
    </row>
    <row r="957" spans="1:29" s="11" customFormat="1" ht="12.5" hidden="1">
      <c r="A957" s="23"/>
      <c r="AA957" s="33"/>
      <c r="AC957" s="10"/>
    </row>
    <row r="958" spans="1:29" s="11" customFormat="1" ht="12.5" hidden="1">
      <c r="A958" s="23"/>
      <c r="AA958" s="33"/>
      <c r="AC958" s="10"/>
    </row>
    <row r="959" spans="1:29" s="11" customFormat="1" ht="12.5" hidden="1">
      <c r="A959" s="23"/>
      <c r="AA959" s="33"/>
      <c r="AC959" s="10"/>
    </row>
    <row r="960" spans="1:29" s="11" customFormat="1" ht="12.5" hidden="1">
      <c r="A960" s="23"/>
      <c r="AA960" s="33"/>
      <c r="AC960" s="10"/>
    </row>
    <row r="961" spans="1:29" s="11" customFormat="1" ht="12.5" hidden="1">
      <c r="A961" s="23"/>
      <c r="AA961" s="33"/>
      <c r="AC961" s="10"/>
    </row>
    <row r="962" spans="1:29" s="11" customFormat="1" ht="12.5" hidden="1">
      <c r="A962" s="23"/>
      <c r="AA962" s="33"/>
      <c r="AC962" s="10"/>
    </row>
    <row r="963" spans="1:29" s="11" customFormat="1" ht="12.5" hidden="1">
      <c r="A963" s="23"/>
      <c r="AA963" s="33"/>
      <c r="AC963" s="10"/>
    </row>
    <row r="964" spans="1:29" s="11" customFormat="1" ht="12.5" hidden="1">
      <c r="A964" s="23"/>
      <c r="AA964" s="33"/>
      <c r="AC964" s="10"/>
    </row>
    <row r="965" spans="1:29" s="11" customFormat="1" ht="12.5" hidden="1">
      <c r="A965" s="23"/>
      <c r="AA965" s="33"/>
      <c r="AC965" s="10"/>
    </row>
    <row r="966" spans="1:29" s="11" customFormat="1" ht="12.5" hidden="1">
      <c r="A966" s="23"/>
      <c r="AA966" s="33"/>
      <c r="AC966" s="10"/>
    </row>
    <row r="967" spans="1:29" s="11" customFormat="1" ht="12.5" hidden="1">
      <c r="A967" s="23"/>
      <c r="AA967" s="33"/>
      <c r="AC967" s="10"/>
    </row>
    <row r="968" spans="1:29" s="11" customFormat="1" ht="12.5" hidden="1">
      <c r="A968" s="23"/>
      <c r="AA968" s="33"/>
      <c r="AC968" s="10"/>
    </row>
    <row r="969" spans="1:29" s="11" customFormat="1" ht="12.5" hidden="1">
      <c r="A969" s="23"/>
      <c r="AA969" s="33"/>
      <c r="AC969" s="10"/>
    </row>
    <row r="970" spans="1:29" s="11" customFormat="1" ht="12.5" hidden="1">
      <c r="A970" s="23"/>
      <c r="AA970" s="33"/>
      <c r="AC970" s="10"/>
    </row>
    <row r="971" spans="1:29" s="11" customFormat="1" ht="12.5" hidden="1">
      <c r="A971" s="23"/>
      <c r="AA971" s="33"/>
      <c r="AC971" s="10"/>
    </row>
    <row r="972" spans="1:29" s="11" customFormat="1" ht="12.5" hidden="1">
      <c r="A972" s="23"/>
      <c r="AA972" s="33"/>
      <c r="AC972" s="10"/>
    </row>
    <row r="973" spans="1:29" s="11" customFormat="1" ht="12.5" hidden="1">
      <c r="A973" s="23"/>
      <c r="AA973" s="33"/>
      <c r="AC973" s="10"/>
    </row>
    <row r="974" spans="1:29" s="11" customFormat="1" ht="12.5" hidden="1">
      <c r="A974" s="23"/>
      <c r="AA974" s="33"/>
      <c r="AC974" s="10"/>
    </row>
    <row r="975" spans="1:29" s="11" customFormat="1" ht="12.5" hidden="1">
      <c r="A975" s="23"/>
      <c r="AA975" s="33"/>
      <c r="AC975" s="10"/>
    </row>
    <row r="976" spans="1:29" s="11" customFormat="1" ht="12.5" hidden="1">
      <c r="A976" s="23"/>
      <c r="AA976" s="33"/>
      <c r="AC976" s="10"/>
    </row>
    <row r="977" spans="1:29" s="11" customFormat="1" ht="12.5" hidden="1">
      <c r="A977" s="23"/>
      <c r="AA977" s="33"/>
      <c r="AC977" s="10"/>
    </row>
    <row r="978" spans="1:29" s="11" customFormat="1" ht="12.5" hidden="1">
      <c r="A978" s="23"/>
      <c r="AA978" s="33"/>
      <c r="AC978" s="10"/>
    </row>
    <row r="979" spans="1:29" s="11" customFormat="1" ht="12.5" hidden="1">
      <c r="A979" s="23"/>
      <c r="AA979" s="33"/>
      <c r="AC979" s="10"/>
    </row>
    <row r="980" spans="1:29" s="11" customFormat="1" ht="12.5" hidden="1">
      <c r="A980" s="23"/>
      <c r="AA980" s="33"/>
      <c r="AC980" s="10"/>
    </row>
    <row r="981" spans="1:29" s="11" customFormat="1" ht="12.5" hidden="1">
      <c r="A981" s="23"/>
      <c r="AA981" s="33"/>
      <c r="AC981" s="10"/>
    </row>
    <row r="982" spans="1:29" s="11" customFormat="1" ht="12.5" hidden="1">
      <c r="A982" s="23"/>
      <c r="AA982" s="33"/>
      <c r="AC982" s="10"/>
    </row>
    <row r="983" spans="1:29" s="11" customFormat="1" ht="12.5" hidden="1">
      <c r="A983" s="23"/>
      <c r="AA983" s="33"/>
      <c r="AC983" s="10"/>
    </row>
    <row r="984" spans="1:29" s="11" customFormat="1" ht="12.5" hidden="1">
      <c r="A984" s="23"/>
      <c r="AA984" s="33"/>
      <c r="AC984" s="10"/>
    </row>
    <row r="985" spans="1:29" s="11" customFormat="1" ht="12.5" hidden="1">
      <c r="A985" s="23"/>
      <c r="AA985" s="33"/>
      <c r="AC985" s="10"/>
    </row>
    <row r="986" spans="1:29" s="11" customFormat="1" ht="12.5" hidden="1">
      <c r="A986" s="23"/>
      <c r="AA986" s="33"/>
      <c r="AC986" s="10"/>
    </row>
    <row r="987" spans="1:29" s="11" customFormat="1" ht="12.5" hidden="1">
      <c r="A987" s="23"/>
      <c r="AA987" s="33"/>
      <c r="AC987" s="10"/>
    </row>
    <row r="988" spans="1:29" s="11" customFormat="1" ht="12.5" hidden="1">
      <c r="A988" s="23"/>
      <c r="AA988" s="33"/>
      <c r="AC988" s="10"/>
    </row>
    <row r="989" spans="1:29" s="11" customFormat="1" ht="12.5" hidden="1">
      <c r="A989" s="23"/>
      <c r="AA989" s="33"/>
      <c r="AC989" s="10"/>
    </row>
    <row r="990" spans="1:29" s="11" customFormat="1" ht="12.5" hidden="1">
      <c r="A990" s="23"/>
      <c r="AA990" s="33"/>
      <c r="AC990" s="10"/>
    </row>
    <row r="991" spans="1:29" s="11" customFormat="1" ht="12.5" hidden="1">
      <c r="A991" s="23"/>
      <c r="AA991" s="33"/>
      <c r="AC991" s="10"/>
    </row>
    <row r="992" spans="1:29" s="11" customFormat="1" ht="12.5" hidden="1">
      <c r="A992" s="23"/>
      <c r="AA992" s="33"/>
      <c r="AC992" s="10"/>
    </row>
    <row r="993" spans="1:29" s="11" customFormat="1" ht="12.5" hidden="1">
      <c r="A993" s="23"/>
      <c r="AA993" s="33"/>
      <c r="AC993" s="10"/>
    </row>
    <row r="994" spans="1:29" s="11" customFormat="1" ht="12.5" hidden="1">
      <c r="A994" s="23"/>
      <c r="AA994" s="33"/>
      <c r="AC994" s="10"/>
    </row>
    <row r="995" spans="1:29" s="11" customFormat="1" ht="12.5" hidden="1">
      <c r="A995" s="23"/>
      <c r="AA995" s="33"/>
      <c r="AC995" s="10"/>
    </row>
    <row r="996" spans="1:29" s="11" customFormat="1" ht="12.5" hidden="1">
      <c r="A996" s="23"/>
      <c r="AA996" s="33"/>
      <c r="AC996" s="10"/>
    </row>
    <row r="997" spans="1:29" s="11" customFormat="1" ht="12.5" hidden="1">
      <c r="A997" s="23"/>
      <c r="AA997" s="33"/>
      <c r="AC997" s="10"/>
    </row>
    <row r="998" spans="1:29" s="11" customFormat="1" ht="12.5" hidden="1">
      <c r="A998" s="23"/>
      <c r="AA998" s="33"/>
      <c r="AC998" s="10"/>
    </row>
    <row r="999" spans="1:29" s="11" customFormat="1" ht="12.5" hidden="1">
      <c r="A999" s="23"/>
      <c r="AA999" s="33"/>
      <c r="AC999" s="10"/>
    </row>
    <row r="1000" spans="1:29" s="11" customFormat="1" ht="12.5" hidden="1">
      <c r="A1000" s="23"/>
      <c r="AA1000" s="33"/>
      <c r="AC1000" s="10"/>
    </row>
    <row r="1001" spans="1:29" s="11" customFormat="1" ht="12.5" hidden="1">
      <c r="A1001" s="23"/>
      <c r="AA1001" s="33"/>
      <c r="AC1001" s="10"/>
    </row>
    <row r="1002" spans="1:29" s="11" customFormat="1" ht="12.5" hidden="1">
      <c r="A1002" s="23"/>
      <c r="AA1002" s="33"/>
      <c r="AC1002" s="10"/>
    </row>
    <row r="1003" spans="1:29" s="11" customFormat="1" ht="12.5" hidden="1">
      <c r="A1003" s="23"/>
      <c r="AA1003" s="33"/>
      <c r="AC1003" s="10"/>
    </row>
    <row r="1004" spans="1:29" s="11" customFormat="1" ht="12.5" hidden="1">
      <c r="A1004" s="23"/>
      <c r="AA1004" s="33"/>
      <c r="AC1004" s="10"/>
    </row>
    <row r="1005" spans="1:29" s="11" customFormat="1" ht="12.5" hidden="1">
      <c r="A1005" s="23"/>
      <c r="AA1005" s="33"/>
      <c r="AC1005" s="10"/>
    </row>
    <row r="1006" spans="1:29" s="11" customFormat="1" ht="12.5" hidden="1">
      <c r="A1006" s="23"/>
      <c r="AA1006" s="33"/>
      <c r="AC1006" s="10"/>
    </row>
    <row r="1007" spans="1:29" s="11" customFormat="1" ht="12.5" hidden="1">
      <c r="A1007" s="23"/>
      <c r="AA1007" s="33"/>
      <c r="AC1007" s="10"/>
    </row>
    <row r="1008" spans="1:29" s="11" customFormat="1" ht="12.5" hidden="1">
      <c r="A1008" s="23"/>
      <c r="AA1008" s="33"/>
      <c r="AC1008" s="10"/>
    </row>
    <row r="1009" spans="1:29" s="11" customFormat="1" ht="12.5" hidden="1">
      <c r="A1009" s="23"/>
      <c r="AA1009" s="33"/>
      <c r="AC1009" s="10"/>
    </row>
    <row r="1010" spans="1:29" s="11" customFormat="1" ht="12.5" hidden="1">
      <c r="A1010" s="23"/>
      <c r="AA1010" s="33"/>
      <c r="AC1010" s="10"/>
    </row>
    <row r="1011" spans="1:29" s="11" customFormat="1" ht="12.5" hidden="1">
      <c r="A1011" s="23"/>
      <c r="AA1011" s="33"/>
      <c r="AC1011" s="10"/>
    </row>
    <row r="1012" spans="1:29" s="11" customFormat="1" ht="12.5" hidden="1">
      <c r="A1012" s="23"/>
      <c r="AA1012" s="33"/>
      <c r="AC1012" s="10"/>
    </row>
    <row r="1013" spans="1:29" s="11" customFormat="1" ht="12.5" hidden="1">
      <c r="A1013" s="23"/>
      <c r="AA1013" s="33"/>
      <c r="AC1013" s="10"/>
    </row>
    <row r="1014" spans="1:29" s="11" customFormat="1" ht="12.5" hidden="1">
      <c r="A1014" s="23"/>
      <c r="AA1014" s="33"/>
      <c r="AC1014" s="10"/>
    </row>
    <row r="1015" spans="1:29" s="11" customFormat="1" ht="12.5" hidden="1">
      <c r="A1015" s="23"/>
      <c r="AA1015" s="33"/>
      <c r="AC1015" s="10"/>
    </row>
    <row r="1016" spans="1:29" s="11" customFormat="1" ht="12.5" hidden="1">
      <c r="A1016" s="23"/>
      <c r="AA1016" s="33"/>
      <c r="AC1016" s="10"/>
    </row>
    <row r="1017" spans="1:29" s="11" customFormat="1" ht="12.5" hidden="1">
      <c r="A1017" s="23"/>
      <c r="AA1017" s="33"/>
      <c r="AC1017" s="10"/>
    </row>
    <row r="1018" spans="1:29" s="11" customFormat="1" ht="12.5" hidden="1">
      <c r="A1018" s="23"/>
      <c r="AA1018" s="33"/>
      <c r="AC1018" s="10"/>
    </row>
    <row r="1019" spans="1:29" s="11" customFormat="1" ht="12.5" hidden="1">
      <c r="A1019" s="23"/>
      <c r="AA1019" s="33"/>
      <c r="AC1019" s="10"/>
    </row>
    <row r="1020" spans="1:29" s="11" customFormat="1" ht="12.5" hidden="1">
      <c r="A1020" s="23"/>
      <c r="AA1020" s="33"/>
      <c r="AC1020" s="10"/>
    </row>
    <row r="1021" spans="1:29" s="11" customFormat="1" ht="12.5" hidden="1">
      <c r="A1021" s="23"/>
      <c r="AA1021" s="33"/>
      <c r="AC1021" s="10"/>
    </row>
    <row r="1022" spans="1:29" s="11" customFormat="1" ht="12.5" hidden="1">
      <c r="A1022" s="23"/>
      <c r="AA1022" s="33"/>
      <c r="AC1022" s="10"/>
    </row>
    <row r="1023" spans="1:29" s="11" customFormat="1" ht="12.5" hidden="1">
      <c r="A1023" s="23"/>
      <c r="AA1023" s="33"/>
      <c r="AC1023" s="10"/>
    </row>
    <row r="1024" spans="1:29" s="11" customFormat="1" ht="12.5" hidden="1">
      <c r="A1024" s="23"/>
      <c r="AA1024" s="33"/>
      <c r="AC1024" s="10"/>
    </row>
    <row r="1025" spans="1:29" s="11" customFormat="1" ht="12.5" hidden="1">
      <c r="A1025" s="23"/>
      <c r="AA1025" s="33"/>
      <c r="AC1025" s="10"/>
    </row>
    <row r="1026" spans="1:29" s="11" customFormat="1" ht="12.5" hidden="1">
      <c r="A1026" s="23"/>
      <c r="AA1026" s="33"/>
      <c r="AC1026" s="10"/>
    </row>
    <row r="1027" spans="1:29" s="11" customFormat="1" ht="12.5" hidden="1">
      <c r="A1027" s="23"/>
      <c r="AA1027" s="33"/>
      <c r="AC1027" s="10"/>
    </row>
    <row r="1028" spans="1:29" s="11" customFormat="1" ht="12.5" hidden="1">
      <c r="A1028" s="23"/>
      <c r="AA1028" s="33"/>
      <c r="AC1028" s="10"/>
    </row>
    <row r="1029" spans="1:29" s="11" customFormat="1" ht="12.5" hidden="1">
      <c r="A1029" s="23"/>
      <c r="AA1029" s="33"/>
      <c r="AC1029" s="10"/>
    </row>
    <row r="1030" spans="1:29" s="11" customFormat="1" ht="12.5" hidden="1">
      <c r="A1030" s="23"/>
      <c r="AA1030" s="33"/>
      <c r="AC1030" s="10"/>
    </row>
    <row r="1031" spans="1:29" s="11" customFormat="1" ht="12.5" hidden="1">
      <c r="A1031" s="23"/>
      <c r="AA1031" s="33"/>
      <c r="AC1031" s="10"/>
    </row>
    <row r="1032" spans="1:29" s="11" customFormat="1" ht="12.5" hidden="1">
      <c r="A1032" s="23"/>
      <c r="AA1032" s="33"/>
      <c r="AC1032" s="10"/>
    </row>
    <row r="1033" spans="1:29" s="11" customFormat="1" ht="12.5" hidden="1">
      <c r="A1033" s="23"/>
      <c r="AA1033" s="33"/>
      <c r="AC1033" s="10"/>
    </row>
    <row r="1034" spans="1:29" s="11" customFormat="1" ht="12.5" hidden="1">
      <c r="A1034" s="23"/>
      <c r="AA1034" s="33"/>
      <c r="AC1034" s="10"/>
    </row>
    <row r="1035" spans="1:29" s="11" customFormat="1" ht="12.5" hidden="1">
      <c r="A1035" s="23"/>
      <c r="AA1035" s="33"/>
      <c r="AC1035" s="10"/>
    </row>
    <row r="1036" spans="1:29" s="11" customFormat="1" ht="12.5" hidden="1">
      <c r="A1036" s="23"/>
      <c r="AA1036" s="33"/>
      <c r="AC1036" s="10"/>
    </row>
    <row r="1037" spans="1:29" s="11" customFormat="1" ht="12.5" hidden="1">
      <c r="A1037" s="23"/>
      <c r="AA1037" s="33"/>
      <c r="AC1037" s="10"/>
    </row>
    <row r="1038" spans="1:29" s="11" customFormat="1" ht="12.5" hidden="1">
      <c r="A1038" s="23"/>
      <c r="AA1038" s="33"/>
      <c r="AC1038" s="10"/>
    </row>
    <row r="1039" spans="1:29" s="11" customFormat="1" ht="12.5" hidden="1">
      <c r="A1039" s="23"/>
      <c r="AA1039" s="33"/>
      <c r="AC1039" s="10"/>
    </row>
    <row r="1040" spans="1:29" s="11" customFormat="1" ht="12.5" hidden="1">
      <c r="A1040" s="23"/>
      <c r="AA1040" s="33"/>
      <c r="AC1040" s="10"/>
    </row>
    <row r="1041" spans="1:29" s="11" customFormat="1" ht="12.5" hidden="1">
      <c r="A1041" s="23"/>
      <c r="AA1041" s="33"/>
      <c r="AC1041" s="10"/>
    </row>
    <row r="1042" spans="1:29" s="11" customFormat="1" ht="12.5" hidden="1">
      <c r="A1042" s="23"/>
      <c r="AA1042" s="33"/>
      <c r="AC1042" s="10"/>
    </row>
    <row r="1043" spans="1:29" s="11" customFormat="1" ht="12.5" hidden="1">
      <c r="A1043" s="23"/>
      <c r="AA1043" s="33"/>
      <c r="AC1043" s="10"/>
    </row>
    <row r="1044" spans="1:29" s="11" customFormat="1" ht="12.5" hidden="1">
      <c r="A1044" s="23"/>
      <c r="AA1044" s="33"/>
      <c r="AC1044" s="10"/>
    </row>
    <row r="1045" spans="1:29" s="11" customFormat="1" ht="12.5" hidden="1">
      <c r="A1045" s="23"/>
      <c r="AA1045" s="33"/>
      <c r="AC1045" s="10"/>
    </row>
    <row r="1046" spans="1:29" s="11" customFormat="1" ht="12.5" hidden="1">
      <c r="A1046" s="23"/>
      <c r="AA1046" s="33"/>
      <c r="AC1046" s="10"/>
    </row>
    <row r="1047" spans="1:29" s="11" customFormat="1" ht="12.5" hidden="1">
      <c r="A1047" s="23"/>
      <c r="AA1047" s="33"/>
      <c r="AC1047" s="10"/>
    </row>
    <row r="1048" spans="1:29" s="11" customFormat="1" ht="12.5" hidden="1">
      <c r="A1048" s="23"/>
      <c r="AA1048" s="33"/>
      <c r="AC1048" s="10"/>
    </row>
    <row r="1049" spans="1:29" s="11" customFormat="1" ht="12.5" hidden="1">
      <c r="A1049" s="23"/>
      <c r="AA1049" s="33"/>
      <c r="AC1049" s="10"/>
    </row>
    <row r="1050" spans="1:29" s="11" customFormat="1" ht="12.5" hidden="1">
      <c r="A1050" s="23"/>
      <c r="AA1050" s="33"/>
      <c r="AC1050" s="10"/>
    </row>
    <row r="1051" spans="1:29" s="11" customFormat="1" ht="12.5" hidden="1">
      <c r="A1051" s="23"/>
      <c r="AA1051" s="33"/>
      <c r="AC1051" s="10"/>
    </row>
    <row r="1052" spans="1:29" s="11" customFormat="1" ht="12.5" hidden="1">
      <c r="A1052" s="23"/>
      <c r="AA1052" s="33"/>
      <c r="AC1052" s="10"/>
    </row>
    <row r="1053" spans="1:29" s="11" customFormat="1" ht="12.5" hidden="1">
      <c r="A1053" s="23"/>
      <c r="AA1053" s="33"/>
      <c r="AC1053" s="10"/>
    </row>
    <row r="1054" spans="1:29" s="11" customFormat="1" ht="12.5" hidden="1">
      <c r="A1054" s="23"/>
      <c r="AA1054" s="33"/>
      <c r="AC1054" s="10"/>
    </row>
    <row r="1055" spans="1:29" s="11" customFormat="1" ht="12.5" hidden="1">
      <c r="A1055" s="23"/>
      <c r="AA1055" s="33"/>
      <c r="AC1055" s="10"/>
    </row>
    <row r="1056" spans="1:29" s="11" customFormat="1" ht="12.5" hidden="1">
      <c r="A1056" s="23"/>
      <c r="AA1056" s="33"/>
      <c r="AC1056" s="10"/>
    </row>
    <row r="1057" spans="1:29" s="11" customFormat="1" ht="12.5" hidden="1">
      <c r="A1057" s="23"/>
      <c r="AA1057" s="33"/>
      <c r="AC1057" s="10"/>
    </row>
    <row r="1058" spans="1:29" s="11" customFormat="1" ht="12.5" hidden="1">
      <c r="A1058" s="23"/>
      <c r="AA1058" s="33"/>
      <c r="AC1058" s="10"/>
    </row>
    <row r="1059" spans="1:29" s="11" customFormat="1" ht="12.5" hidden="1">
      <c r="A1059" s="23"/>
      <c r="AA1059" s="33"/>
      <c r="AC1059" s="10"/>
    </row>
    <row r="1060" spans="1:29" s="11" customFormat="1" ht="12.5" hidden="1">
      <c r="A1060" s="23"/>
      <c r="AA1060" s="33"/>
      <c r="AC1060" s="10"/>
    </row>
    <row r="1061" spans="1:29" s="11" customFormat="1" ht="12.5" hidden="1">
      <c r="A1061" s="23"/>
      <c r="AA1061" s="33"/>
      <c r="AC1061" s="10"/>
    </row>
    <row r="1062" spans="1:29" s="11" customFormat="1" ht="12.5" hidden="1">
      <c r="A1062" s="23"/>
      <c r="AA1062" s="33"/>
      <c r="AC1062" s="10"/>
    </row>
    <row r="1063" spans="1:29" s="11" customFormat="1" ht="12.5" hidden="1">
      <c r="A1063" s="23"/>
      <c r="AA1063" s="33"/>
      <c r="AC1063" s="10"/>
    </row>
    <row r="1064" spans="1:29" s="11" customFormat="1" ht="12.5" hidden="1">
      <c r="A1064" s="23"/>
      <c r="AA1064" s="33"/>
      <c r="AC1064" s="10"/>
    </row>
    <row r="1065" spans="1:29" s="11" customFormat="1" ht="12.5" hidden="1">
      <c r="A1065" s="23"/>
      <c r="AA1065" s="33"/>
      <c r="AC1065" s="10"/>
    </row>
    <row r="1066" spans="1:29" s="11" customFormat="1" ht="12.5" hidden="1">
      <c r="A1066" s="23"/>
      <c r="AA1066" s="33"/>
      <c r="AC1066" s="10"/>
    </row>
    <row r="1067" spans="1:29" s="11" customFormat="1" ht="12.5" hidden="1">
      <c r="A1067" s="23"/>
      <c r="AA1067" s="33"/>
      <c r="AC1067" s="10"/>
    </row>
    <row r="1068" spans="1:29" s="11" customFormat="1" ht="12.5" hidden="1">
      <c r="A1068" s="23"/>
      <c r="AA1068" s="33"/>
      <c r="AC1068" s="10"/>
    </row>
    <row r="1069" spans="1:29" s="11" customFormat="1" ht="12.5" hidden="1">
      <c r="A1069" s="23"/>
      <c r="AA1069" s="33"/>
      <c r="AC1069" s="10"/>
    </row>
    <row r="1070" spans="1:29" s="11" customFormat="1" ht="12.5" hidden="1">
      <c r="A1070" s="23"/>
      <c r="AA1070" s="33"/>
      <c r="AC1070" s="10"/>
    </row>
    <row r="1071" spans="1:29" s="11" customFormat="1" ht="12.5" hidden="1">
      <c r="A1071" s="23"/>
      <c r="AA1071" s="33"/>
      <c r="AC1071" s="10"/>
    </row>
    <row r="1072" spans="1:29" s="11" customFormat="1" ht="12.5" hidden="1">
      <c r="A1072" s="23"/>
      <c r="AA1072" s="33"/>
      <c r="AC1072" s="10"/>
    </row>
    <row r="1073" spans="1:29" s="11" customFormat="1" ht="12.5" hidden="1">
      <c r="A1073" s="23"/>
      <c r="AA1073" s="33"/>
      <c r="AC1073" s="10"/>
    </row>
    <row r="1074" spans="1:29" s="11" customFormat="1" ht="12.5" hidden="1">
      <c r="A1074" s="23"/>
      <c r="AA1074" s="33"/>
      <c r="AC1074" s="10"/>
    </row>
    <row r="1075" spans="1:29" s="11" customFormat="1" ht="12.5" hidden="1">
      <c r="A1075" s="23"/>
      <c r="AA1075" s="33"/>
      <c r="AC1075" s="10"/>
    </row>
    <row r="1076" spans="1:29" s="11" customFormat="1" ht="12.5" hidden="1">
      <c r="A1076" s="23"/>
      <c r="AA1076" s="33"/>
      <c r="AC1076" s="10"/>
    </row>
    <row r="1077" spans="1:29" s="11" customFormat="1" ht="12.5" hidden="1">
      <c r="A1077" s="23"/>
      <c r="AA1077" s="33"/>
      <c r="AC1077" s="10"/>
    </row>
    <row r="1078" spans="1:29" s="11" customFormat="1" ht="12.5" hidden="1">
      <c r="A1078" s="23"/>
      <c r="AA1078" s="33"/>
      <c r="AC1078" s="10"/>
    </row>
    <row r="1079" spans="1:29" s="11" customFormat="1" ht="12.5" hidden="1">
      <c r="A1079" s="23"/>
      <c r="AA1079" s="33"/>
      <c r="AC1079" s="10"/>
    </row>
    <row r="1080" spans="1:29" s="11" customFormat="1" ht="12.5" hidden="1">
      <c r="A1080" s="23"/>
      <c r="AA1080" s="33"/>
      <c r="AC1080" s="10"/>
    </row>
    <row r="1081" spans="1:29" s="11" customFormat="1" ht="12.5" hidden="1">
      <c r="A1081" s="23"/>
      <c r="AA1081" s="33"/>
      <c r="AC1081" s="10"/>
    </row>
    <row r="1082" spans="1:29" s="11" customFormat="1" ht="12.5" hidden="1">
      <c r="A1082" s="23"/>
      <c r="AA1082" s="33"/>
      <c r="AC1082" s="10"/>
    </row>
    <row r="1083" spans="1:29" s="11" customFormat="1" ht="12.5" hidden="1">
      <c r="A1083" s="23"/>
      <c r="AA1083" s="33"/>
      <c r="AC1083" s="10"/>
    </row>
    <row r="1084" spans="1:29" s="11" customFormat="1" ht="12.5" hidden="1">
      <c r="A1084" s="23"/>
      <c r="AA1084" s="33"/>
      <c r="AC1084" s="10"/>
    </row>
    <row r="1085" spans="1:29" s="11" customFormat="1" ht="12.5" hidden="1">
      <c r="A1085" s="23"/>
      <c r="AA1085" s="33"/>
      <c r="AC1085" s="10"/>
    </row>
    <row r="1086" spans="1:29" s="11" customFormat="1" ht="12.5" hidden="1">
      <c r="A1086" s="23"/>
      <c r="AA1086" s="33"/>
      <c r="AC1086" s="10"/>
    </row>
    <row r="1087" spans="1:29" s="11" customFormat="1" ht="12.5" hidden="1">
      <c r="A1087" s="23"/>
      <c r="AA1087" s="33"/>
      <c r="AC1087" s="10"/>
    </row>
    <row r="1088" spans="1:29" s="11" customFormat="1" ht="12.5" hidden="1">
      <c r="A1088" s="23"/>
      <c r="AA1088" s="33"/>
      <c r="AC1088" s="10"/>
    </row>
    <row r="1089" spans="1:29" s="11" customFormat="1" ht="12.5" hidden="1">
      <c r="A1089" s="23"/>
      <c r="AA1089" s="33"/>
      <c r="AC1089" s="10"/>
    </row>
    <row r="1090" spans="1:29" s="11" customFormat="1" ht="12.5" hidden="1">
      <c r="A1090" s="23"/>
      <c r="AA1090" s="33"/>
      <c r="AC1090" s="10"/>
    </row>
    <row r="1091" spans="1:29" s="11" customFormat="1" ht="12.5" hidden="1">
      <c r="A1091" s="23"/>
      <c r="AA1091" s="33"/>
      <c r="AC1091" s="10"/>
    </row>
    <row r="1092" spans="1:29" s="11" customFormat="1" ht="12.5" hidden="1">
      <c r="A1092" s="23"/>
      <c r="AA1092" s="33"/>
      <c r="AC1092" s="10"/>
    </row>
    <row r="1093" spans="1:29" s="11" customFormat="1" ht="12.5" hidden="1">
      <c r="A1093" s="23"/>
      <c r="AA1093" s="33"/>
      <c r="AC1093" s="10"/>
    </row>
    <row r="1094" spans="1:29" s="11" customFormat="1" ht="12.5" hidden="1">
      <c r="A1094" s="23"/>
      <c r="AA1094" s="33"/>
      <c r="AC1094" s="10"/>
    </row>
    <row r="1095" spans="1:29" s="11" customFormat="1" ht="12.5" hidden="1">
      <c r="A1095" s="23"/>
      <c r="AA1095" s="33"/>
      <c r="AC1095" s="10"/>
    </row>
    <row r="1096" spans="1:29" s="11" customFormat="1" ht="12.5" hidden="1">
      <c r="A1096" s="23"/>
      <c r="AA1096" s="33"/>
      <c r="AC1096" s="10"/>
    </row>
    <row r="1097" spans="1:29" s="11" customFormat="1" ht="12.5" hidden="1">
      <c r="A1097" s="23"/>
      <c r="AA1097" s="33"/>
      <c r="AC1097" s="10"/>
    </row>
    <row r="1098" spans="1:29" s="11" customFormat="1" ht="12.5" hidden="1">
      <c r="A1098" s="23"/>
      <c r="AA1098" s="33"/>
      <c r="AC1098" s="10"/>
    </row>
    <row r="1099" spans="1:29" s="11" customFormat="1" ht="12.5" hidden="1">
      <c r="A1099" s="23"/>
      <c r="AA1099" s="33"/>
      <c r="AC1099" s="10"/>
    </row>
    <row r="1100" spans="1:29" s="11" customFormat="1" ht="12.5" hidden="1">
      <c r="A1100" s="23"/>
      <c r="AA1100" s="33"/>
      <c r="AC1100" s="10"/>
    </row>
    <row r="1101" spans="1:29" s="11" customFormat="1" ht="12.5" hidden="1">
      <c r="A1101" s="23"/>
      <c r="AA1101" s="33"/>
      <c r="AC1101" s="10"/>
    </row>
    <row r="1102" spans="1:29" s="11" customFormat="1" ht="12.5" hidden="1">
      <c r="A1102" s="23"/>
      <c r="AA1102" s="33"/>
      <c r="AC1102" s="10"/>
    </row>
    <row r="1103" spans="1:29" s="11" customFormat="1" ht="12.5" hidden="1">
      <c r="A1103" s="23"/>
      <c r="AA1103" s="33"/>
      <c r="AC1103" s="10"/>
    </row>
    <row r="1104" spans="1:29" s="11" customFormat="1" ht="12.5" hidden="1">
      <c r="A1104" s="23"/>
      <c r="AA1104" s="33"/>
      <c r="AC1104" s="10"/>
    </row>
    <row r="1105" spans="1:29" s="11" customFormat="1" ht="12.5" hidden="1">
      <c r="A1105" s="23"/>
      <c r="AA1105" s="33"/>
      <c r="AC1105" s="10"/>
    </row>
    <row r="1106" spans="1:29" s="11" customFormat="1" ht="12.5" hidden="1">
      <c r="A1106" s="23"/>
      <c r="AA1106" s="33"/>
      <c r="AC1106" s="10"/>
    </row>
    <row r="1107" spans="1:29" s="11" customFormat="1" ht="12.5" hidden="1">
      <c r="A1107" s="23"/>
      <c r="AA1107" s="33"/>
      <c r="AC1107" s="10"/>
    </row>
    <row r="1108" spans="1:29" s="11" customFormat="1" ht="12.5" hidden="1">
      <c r="A1108" s="23"/>
      <c r="AA1108" s="33"/>
      <c r="AC1108" s="10"/>
    </row>
    <row r="1109" spans="1:29" s="11" customFormat="1" ht="12.5" hidden="1">
      <c r="A1109" s="23"/>
      <c r="AA1109" s="33"/>
      <c r="AC1109" s="10"/>
    </row>
    <row r="1110" spans="1:29" s="11" customFormat="1" ht="12.5" hidden="1">
      <c r="A1110" s="23"/>
      <c r="AA1110" s="33"/>
      <c r="AC1110" s="10"/>
    </row>
    <row r="1111" spans="1:29" s="11" customFormat="1" ht="12.5" hidden="1">
      <c r="A1111" s="23"/>
      <c r="AA1111" s="33"/>
      <c r="AC1111" s="10"/>
    </row>
    <row r="1112" spans="1:29" s="11" customFormat="1" ht="12.5" hidden="1">
      <c r="A1112" s="23"/>
      <c r="AA1112" s="33"/>
      <c r="AC1112" s="10"/>
    </row>
    <row r="1113" spans="1:29" s="11" customFormat="1" ht="12.5" hidden="1">
      <c r="A1113" s="23"/>
      <c r="AA1113" s="33"/>
      <c r="AC1113" s="10"/>
    </row>
    <row r="1114" spans="1:29" s="11" customFormat="1" ht="12.5" hidden="1">
      <c r="A1114" s="23"/>
      <c r="AA1114" s="33"/>
      <c r="AC1114" s="10"/>
    </row>
    <row r="1115" spans="1:29" s="11" customFormat="1" ht="12.5" hidden="1">
      <c r="A1115" s="23"/>
      <c r="AA1115" s="33"/>
      <c r="AC1115" s="10"/>
    </row>
    <row r="1116" spans="1:29" s="11" customFormat="1" ht="12.5" hidden="1">
      <c r="A1116" s="23"/>
      <c r="AA1116" s="33"/>
      <c r="AC1116" s="10"/>
    </row>
    <row r="1117" spans="1:29" s="11" customFormat="1" ht="12.5" hidden="1">
      <c r="A1117" s="23"/>
      <c r="AA1117" s="33"/>
      <c r="AC1117" s="10"/>
    </row>
    <row r="1118" spans="1:29" s="11" customFormat="1" ht="12.5" hidden="1">
      <c r="A1118" s="23"/>
      <c r="AA1118" s="33"/>
      <c r="AC1118" s="10"/>
    </row>
    <row r="1119" spans="1:29" s="11" customFormat="1" ht="12.5" hidden="1">
      <c r="A1119" s="23"/>
      <c r="AA1119" s="33"/>
      <c r="AC1119" s="10"/>
    </row>
    <row r="1120" spans="1:29" s="11" customFormat="1" ht="12.5" hidden="1">
      <c r="A1120" s="23"/>
      <c r="AA1120" s="33"/>
      <c r="AC1120" s="10"/>
    </row>
    <row r="1121" spans="1:29" s="11" customFormat="1" ht="12.5" hidden="1">
      <c r="A1121" s="23"/>
      <c r="AA1121" s="33"/>
      <c r="AC1121" s="10"/>
    </row>
    <row r="1122" spans="1:29" s="11" customFormat="1" ht="12.5" hidden="1">
      <c r="A1122" s="23"/>
      <c r="AA1122" s="33"/>
      <c r="AC1122" s="10"/>
    </row>
    <row r="1123" spans="1:29" s="11" customFormat="1" ht="12.5" hidden="1">
      <c r="A1123" s="23"/>
      <c r="AA1123" s="33"/>
      <c r="AC1123" s="10"/>
    </row>
    <row r="1124" spans="1:29" s="11" customFormat="1" ht="12.5" hidden="1">
      <c r="A1124" s="23"/>
      <c r="AA1124" s="33"/>
      <c r="AC1124" s="10"/>
    </row>
    <row r="1125" spans="1:29" s="11" customFormat="1" ht="12.5" hidden="1">
      <c r="A1125" s="23"/>
      <c r="AA1125" s="33"/>
      <c r="AC1125" s="10"/>
    </row>
    <row r="1126" spans="1:29" s="11" customFormat="1" ht="12.5" hidden="1">
      <c r="A1126" s="23"/>
      <c r="AA1126" s="33"/>
      <c r="AC1126" s="10"/>
    </row>
    <row r="1127" spans="1:29" s="11" customFormat="1" ht="12.5" hidden="1">
      <c r="A1127" s="23"/>
      <c r="AA1127" s="33"/>
      <c r="AC1127" s="10"/>
    </row>
    <row r="1128" spans="1:29" s="11" customFormat="1" ht="12.5" hidden="1">
      <c r="A1128" s="23"/>
      <c r="AA1128" s="33"/>
      <c r="AC1128" s="10"/>
    </row>
    <row r="1129" spans="1:29" s="11" customFormat="1" ht="12.5" hidden="1">
      <c r="A1129" s="23"/>
      <c r="AA1129" s="33"/>
      <c r="AC1129" s="10"/>
    </row>
    <row r="1130" spans="1:29" s="11" customFormat="1" ht="12.5" hidden="1">
      <c r="A1130" s="23"/>
      <c r="AA1130" s="33"/>
      <c r="AC1130" s="10"/>
    </row>
    <row r="1131" spans="1:29" s="11" customFormat="1" ht="12.5" hidden="1">
      <c r="A1131" s="23"/>
      <c r="AA1131" s="33"/>
      <c r="AC1131" s="10"/>
    </row>
    <row r="1132" spans="1:29" s="11" customFormat="1" ht="12.5" hidden="1">
      <c r="A1132" s="23"/>
      <c r="AA1132" s="33"/>
      <c r="AC1132" s="10"/>
    </row>
    <row r="1133" spans="1:29" s="11" customFormat="1" ht="12.5" hidden="1">
      <c r="A1133" s="23"/>
      <c r="AA1133" s="33"/>
      <c r="AC1133" s="10"/>
    </row>
    <row r="1134" spans="1:29" s="11" customFormat="1" ht="12.5" hidden="1">
      <c r="A1134" s="23"/>
      <c r="AA1134" s="33"/>
      <c r="AC1134" s="10"/>
    </row>
    <row r="1135" spans="1:29" s="11" customFormat="1" ht="12.5" hidden="1">
      <c r="A1135" s="23"/>
      <c r="AA1135" s="33"/>
      <c r="AC1135" s="10"/>
    </row>
    <row r="1136" spans="1:29" s="11" customFormat="1" ht="12.5" hidden="1">
      <c r="A1136" s="23"/>
      <c r="AA1136" s="33"/>
      <c r="AC1136" s="10"/>
    </row>
    <row r="1137" spans="1:29" s="11" customFormat="1" ht="12.5" hidden="1">
      <c r="A1137" s="23"/>
      <c r="AA1137" s="33"/>
      <c r="AC1137" s="10"/>
    </row>
    <row r="1138" spans="1:29" s="11" customFormat="1" ht="12.5" hidden="1">
      <c r="A1138" s="23"/>
      <c r="AA1138" s="33"/>
      <c r="AC1138" s="10"/>
    </row>
    <row r="1139" spans="1:29" s="11" customFormat="1" ht="12.5" hidden="1">
      <c r="A1139" s="23"/>
      <c r="AA1139" s="33"/>
      <c r="AC1139" s="10"/>
    </row>
    <row r="1140" spans="1:29" s="11" customFormat="1" ht="12.5" hidden="1">
      <c r="A1140" s="23"/>
      <c r="AA1140" s="33"/>
      <c r="AC1140" s="10"/>
    </row>
    <row r="1141" spans="1:29" s="11" customFormat="1" ht="12.5" hidden="1">
      <c r="A1141" s="23"/>
      <c r="AA1141" s="33"/>
      <c r="AC1141" s="10"/>
    </row>
    <row r="1142" spans="1:29" s="11" customFormat="1" ht="12.5" hidden="1">
      <c r="A1142" s="23"/>
      <c r="AA1142" s="33"/>
      <c r="AC1142" s="10"/>
    </row>
    <row r="1143" spans="1:29" s="11" customFormat="1" ht="12.5" hidden="1">
      <c r="A1143" s="23"/>
      <c r="AA1143" s="33"/>
      <c r="AC1143" s="10"/>
    </row>
    <row r="1144" spans="1:29" s="11" customFormat="1" ht="12.5" hidden="1">
      <c r="A1144" s="23"/>
      <c r="AA1144" s="33"/>
      <c r="AC1144" s="10"/>
    </row>
    <row r="1145" spans="1:29" s="11" customFormat="1" ht="12.5" hidden="1">
      <c r="A1145" s="23"/>
      <c r="AA1145" s="33"/>
      <c r="AC1145" s="10"/>
    </row>
    <row r="1146" spans="1:29" s="11" customFormat="1" ht="12.5" hidden="1">
      <c r="A1146" s="23"/>
      <c r="AA1146" s="33"/>
      <c r="AC1146" s="10"/>
    </row>
    <row r="1147" spans="1:29" s="11" customFormat="1" ht="12.5" hidden="1">
      <c r="A1147" s="23"/>
      <c r="AA1147" s="33"/>
      <c r="AC1147" s="10"/>
    </row>
    <row r="1148" spans="1:29" s="11" customFormat="1" ht="12.5" hidden="1">
      <c r="A1148" s="23"/>
      <c r="AA1148" s="33"/>
      <c r="AC1148" s="10"/>
    </row>
    <row r="1149" spans="1:29" s="11" customFormat="1" ht="12.5" hidden="1">
      <c r="A1149" s="23"/>
      <c r="AA1149" s="33"/>
      <c r="AC1149" s="10"/>
    </row>
    <row r="1150" spans="1:29" s="11" customFormat="1" ht="12.5" hidden="1">
      <c r="A1150" s="23"/>
      <c r="AA1150" s="33"/>
      <c r="AC1150" s="10"/>
    </row>
    <row r="1151" spans="1:29" s="11" customFormat="1" ht="12.5" hidden="1">
      <c r="A1151" s="23"/>
      <c r="AA1151" s="33"/>
      <c r="AC1151" s="10"/>
    </row>
    <row r="1152" spans="1:29" s="11" customFormat="1" ht="12.5" hidden="1">
      <c r="A1152" s="23"/>
      <c r="AA1152" s="33"/>
      <c r="AC1152" s="10"/>
    </row>
    <row r="1153" spans="1:29" s="11" customFormat="1" ht="12.5" hidden="1">
      <c r="A1153" s="23"/>
      <c r="AA1153" s="33"/>
      <c r="AC1153" s="10"/>
    </row>
    <row r="1154" spans="1:29" s="11" customFormat="1" ht="12.5" hidden="1">
      <c r="A1154" s="23"/>
      <c r="AA1154" s="33"/>
      <c r="AC1154" s="10"/>
    </row>
    <row r="1155" spans="1:29" s="11" customFormat="1" ht="12.5" hidden="1">
      <c r="A1155" s="23"/>
      <c r="AA1155" s="33"/>
      <c r="AC1155" s="10"/>
    </row>
    <row r="1156" spans="1:29" s="11" customFormat="1" ht="12.5" hidden="1">
      <c r="A1156" s="23"/>
      <c r="AA1156" s="33"/>
      <c r="AC1156" s="10"/>
    </row>
    <row r="1157" spans="1:29" s="11" customFormat="1" ht="12.5" hidden="1">
      <c r="A1157" s="23"/>
      <c r="AA1157" s="33"/>
      <c r="AC1157" s="10"/>
    </row>
    <row r="1158" spans="1:29" s="11" customFormat="1" ht="12.5" hidden="1">
      <c r="A1158" s="23"/>
      <c r="AA1158" s="33"/>
      <c r="AC1158" s="10"/>
    </row>
    <row r="1159" spans="1:29" s="11" customFormat="1" ht="12.5" hidden="1">
      <c r="A1159" s="23"/>
      <c r="AA1159" s="33"/>
      <c r="AC1159" s="10"/>
    </row>
    <row r="1160" spans="1:29" s="11" customFormat="1" ht="12.5" hidden="1">
      <c r="A1160" s="23"/>
      <c r="AA1160" s="33"/>
      <c r="AC1160" s="10"/>
    </row>
    <row r="1161" spans="1:29" s="11" customFormat="1" ht="12.5" hidden="1">
      <c r="A1161" s="23"/>
      <c r="AA1161" s="33"/>
      <c r="AC1161" s="10"/>
    </row>
    <row r="1162" spans="1:29" s="11" customFormat="1" ht="12.5" hidden="1">
      <c r="A1162" s="23"/>
      <c r="AA1162" s="33"/>
      <c r="AC1162" s="10"/>
    </row>
    <row r="1163" spans="1:29" s="11" customFormat="1" ht="12.5" hidden="1">
      <c r="A1163" s="23"/>
      <c r="AA1163" s="33"/>
      <c r="AC1163" s="10"/>
    </row>
    <row r="1164" spans="1:29" s="11" customFormat="1" ht="12.5" hidden="1">
      <c r="A1164" s="23"/>
      <c r="AA1164" s="33"/>
      <c r="AC1164" s="10"/>
    </row>
    <row r="1165" spans="1:29" s="11" customFormat="1" ht="12.5" hidden="1">
      <c r="A1165" s="23"/>
      <c r="AA1165" s="33"/>
      <c r="AC1165" s="10"/>
    </row>
    <row r="1166" spans="1:29" s="11" customFormat="1" ht="12.5" hidden="1">
      <c r="A1166" s="23"/>
      <c r="AA1166" s="33"/>
      <c r="AC1166" s="10"/>
    </row>
    <row r="1167" spans="1:29" s="11" customFormat="1" ht="12.5" hidden="1">
      <c r="A1167" s="23"/>
      <c r="AA1167" s="33"/>
      <c r="AC1167" s="10"/>
    </row>
    <row r="1168" spans="1:29" s="11" customFormat="1" ht="12.5" hidden="1">
      <c r="A1168" s="23"/>
      <c r="AA1168" s="33"/>
      <c r="AC1168" s="10"/>
    </row>
    <row r="1169" spans="1:29" s="11" customFormat="1" ht="12.5" hidden="1">
      <c r="A1169" s="23"/>
      <c r="AA1169" s="33"/>
      <c r="AC1169" s="10"/>
    </row>
    <row r="1170" spans="1:29" s="11" customFormat="1" ht="12.5" hidden="1">
      <c r="A1170" s="23"/>
      <c r="AA1170" s="33"/>
      <c r="AC1170" s="10"/>
    </row>
    <row r="1171" spans="1:29" s="11" customFormat="1" ht="12.5" hidden="1">
      <c r="A1171" s="23"/>
      <c r="AA1171" s="33"/>
      <c r="AC1171" s="10"/>
    </row>
    <row r="1172" spans="1:29" s="11" customFormat="1" ht="12.5" hidden="1">
      <c r="A1172" s="23"/>
      <c r="AA1172" s="33"/>
      <c r="AC1172" s="10"/>
    </row>
    <row r="1173" spans="1:29" s="11" customFormat="1" ht="12.5" hidden="1">
      <c r="A1173" s="23"/>
      <c r="AA1173" s="33"/>
      <c r="AC1173" s="10"/>
    </row>
    <row r="1174" spans="1:29" s="11" customFormat="1" ht="12.5" hidden="1">
      <c r="A1174" s="23"/>
      <c r="AA1174" s="33"/>
      <c r="AC1174" s="10"/>
    </row>
    <row r="1175" spans="1:29" s="11" customFormat="1" ht="12.5" hidden="1">
      <c r="A1175" s="23"/>
      <c r="AA1175" s="33"/>
      <c r="AC1175" s="10"/>
    </row>
    <row r="1176" spans="1:29" s="11" customFormat="1" ht="12.5" hidden="1">
      <c r="A1176" s="23"/>
      <c r="AA1176" s="33"/>
      <c r="AC1176" s="10"/>
    </row>
    <row r="1177" spans="1:29" s="11" customFormat="1" ht="12.5" hidden="1">
      <c r="A1177" s="23"/>
      <c r="AA1177" s="33"/>
      <c r="AC1177" s="10"/>
    </row>
    <row r="1178" spans="1:29" s="11" customFormat="1" ht="12.5" hidden="1">
      <c r="A1178" s="23"/>
      <c r="AA1178" s="33"/>
      <c r="AC1178" s="10"/>
    </row>
    <row r="1179" spans="1:29" s="11" customFormat="1" ht="12.5" hidden="1">
      <c r="A1179" s="23"/>
      <c r="AA1179" s="33"/>
      <c r="AC1179" s="10"/>
    </row>
    <row r="1180" spans="1:29" s="11" customFormat="1" ht="12.5" hidden="1">
      <c r="A1180" s="23"/>
      <c r="AA1180" s="33"/>
      <c r="AC1180" s="10"/>
    </row>
    <row r="1181" spans="1:29" s="11" customFormat="1" ht="12.5" hidden="1">
      <c r="A1181" s="23"/>
      <c r="AA1181" s="33"/>
      <c r="AC1181" s="10"/>
    </row>
    <row r="1182" spans="1:29" s="11" customFormat="1" ht="12.5" hidden="1">
      <c r="A1182" s="23"/>
      <c r="AA1182" s="33"/>
      <c r="AC1182" s="10"/>
    </row>
    <row r="1183" spans="1:29" s="11" customFormat="1" ht="12.5" hidden="1">
      <c r="A1183" s="23"/>
      <c r="AA1183" s="33"/>
      <c r="AC1183" s="10"/>
    </row>
    <row r="1184" spans="1:29" s="11" customFormat="1" ht="12.5" hidden="1">
      <c r="A1184" s="23"/>
      <c r="AA1184" s="33"/>
      <c r="AC1184" s="10"/>
    </row>
    <row r="1185" spans="1:29" s="11" customFormat="1" ht="12.5" hidden="1">
      <c r="A1185" s="23"/>
      <c r="AA1185" s="33"/>
      <c r="AC1185" s="10"/>
    </row>
    <row r="1186" spans="1:29" s="11" customFormat="1" ht="12.5" hidden="1">
      <c r="A1186" s="23"/>
      <c r="AA1186" s="33"/>
      <c r="AC1186" s="10"/>
    </row>
    <row r="1187" spans="1:29" s="11" customFormat="1" ht="12.5" hidden="1">
      <c r="A1187" s="23"/>
      <c r="AA1187" s="33"/>
      <c r="AC1187" s="10"/>
    </row>
    <row r="1188" spans="1:29" s="11" customFormat="1" ht="12.5" hidden="1">
      <c r="A1188" s="23"/>
      <c r="AA1188" s="33"/>
      <c r="AC1188" s="10"/>
    </row>
    <row r="1189" spans="1:29" s="11" customFormat="1" ht="12.5" hidden="1">
      <c r="A1189" s="23"/>
      <c r="AA1189" s="33"/>
      <c r="AC1189" s="10"/>
    </row>
    <row r="1190" spans="1:29" s="11" customFormat="1" ht="12.5" hidden="1">
      <c r="A1190" s="23"/>
      <c r="AA1190" s="33"/>
      <c r="AC1190" s="10"/>
    </row>
    <row r="1191" spans="1:29" s="11" customFormat="1" ht="12.5" hidden="1">
      <c r="A1191" s="23"/>
      <c r="AA1191" s="33"/>
      <c r="AC1191" s="10"/>
    </row>
    <row r="1192" spans="1:29" s="11" customFormat="1" ht="12.5" hidden="1">
      <c r="A1192" s="23"/>
      <c r="AA1192" s="33"/>
      <c r="AC1192" s="10"/>
    </row>
    <row r="1193" spans="1:29" s="11" customFormat="1" ht="12.5" hidden="1">
      <c r="A1193" s="23"/>
      <c r="AA1193" s="33"/>
      <c r="AC1193" s="10"/>
    </row>
    <row r="1194" spans="1:29" s="11" customFormat="1" ht="12.5" hidden="1">
      <c r="A1194" s="23"/>
      <c r="AA1194" s="33"/>
      <c r="AC1194" s="10"/>
    </row>
    <row r="1195" spans="1:29" s="11" customFormat="1" ht="12.5" hidden="1">
      <c r="A1195" s="23"/>
      <c r="AA1195" s="33"/>
      <c r="AC1195" s="10"/>
    </row>
    <row r="1196" spans="1:29" s="11" customFormat="1" ht="12.5" hidden="1">
      <c r="A1196" s="23"/>
      <c r="AA1196" s="33"/>
      <c r="AC1196" s="10"/>
    </row>
    <row r="1197" spans="1:29" s="11" customFormat="1" ht="12.5" hidden="1">
      <c r="A1197" s="23"/>
      <c r="AA1197" s="33"/>
      <c r="AC1197" s="10"/>
    </row>
    <row r="1198" spans="1:29" s="11" customFormat="1" ht="12.5" hidden="1">
      <c r="A1198" s="23"/>
      <c r="AA1198" s="33"/>
      <c r="AC1198" s="10"/>
    </row>
    <row r="1199" spans="1:29" s="11" customFormat="1" ht="12.5" hidden="1">
      <c r="A1199" s="23"/>
      <c r="AA1199" s="33"/>
      <c r="AC1199" s="10"/>
    </row>
    <row r="1200" spans="1:29" s="11" customFormat="1" ht="12.5" hidden="1">
      <c r="A1200" s="23"/>
      <c r="AA1200" s="33"/>
      <c r="AC1200" s="10"/>
    </row>
    <row r="1201" spans="1:29" s="11" customFormat="1" ht="12.5" hidden="1">
      <c r="A1201" s="23"/>
      <c r="AA1201" s="33"/>
      <c r="AC1201" s="10"/>
    </row>
    <row r="1202" spans="1:29" s="11" customFormat="1" ht="12.5" hidden="1">
      <c r="A1202" s="23"/>
      <c r="AA1202" s="33"/>
      <c r="AC1202" s="10"/>
    </row>
    <row r="1203" spans="1:29" s="11" customFormat="1" ht="12.5" hidden="1">
      <c r="A1203" s="23"/>
      <c r="AA1203" s="33"/>
      <c r="AC1203" s="10"/>
    </row>
    <row r="1204" spans="1:29" s="11" customFormat="1" ht="12.5" hidden="1">
      <c r="A1204" s="23"/>
      <c r="AA1204" s="33"/>
      <c r="AC1204" s="10"/>
    </row>
    <row r="1205" spans="1:29" s="11" customFormat="1" ht="12.5" hidden="1">
      <c r="A1205" s="23"/>
      <c r="AA1205" s="33"/>
      <c r="AC1205" s="10"/>
    </row>
    <row r="1206" spans="1:29" s="11" customFormat="1" ht="12.5" hidden="1">
      <c r="A1206" s="23"/>
      <c r="AA1206" s="33"/>
      <c r="AC1206" s="10"/>
    </row>
    <row r="1207" spans="1:29" s="11" customFormat="1" ht="12.5" hidden="1">
      <c r="A1207" s="23"/>
      <c r="AA1207" s="33"/>
      <c r="AC1207" s="10"/>
    </row>
    <row r="1208" spans="1:29" s="11" customFormat="1" ht="12.5" hidden="1">
      <c r="A1208" s="23"/>
      <c r="AA1208" s="33"/>
      <c r="AC1208" s="10"/>
    </row>
    <row r="1209" spans="1:29" s="11" customFormat="1" ht="12.5" hidden="1">
      <c r="A1209" s="23"/>
      <c r="AA1209" s="33"/>
      <c r="AC1209" s="10"/>
    </row>
    <row r="1210" spans="1:29" s="11" customFormat="1" ht="12.5" hidden="1">
      <c r="A1210" s="23"/>
      <c r="AA1210" s="33"/>
      <c r="AC1210" s="10"/>
    </row>
    <row r="1211" spans="1:29" s="11" customFormat="1" ht="12.5" hidden="1">
      <c r="A1211" s="23"/>
      <c r="AA1211" s="33"/>
      <c r="AC1211" s="10"/>
    </row>
    <row r="1212" spans="1:29" s="11" customFormat="1" ht="12.5" hidden="1">
      <c r="A1212" s="23"/>
      <c r="AA1212" s="33"/>
      <c r="AC1212" s="10"/>
    </row>
    <row r="1213" spans="1:29" s="11" customFormat="1" ht="12.5" hidden="1">
      <c r="A1213" s="23"/>
      <c r="AA1213" s="33"/>
      <c r="AC1213" s="10"/>
    </row>
    <row r="1214" spans="1:29" s="11" customFormat="1" ht="12.5" hidden="1">
      <c r="A1214" s="23"/>
      <c r="AA1214" s="33"/>
      <c r="AC1214" s="10"/>
    </row>
    <row r="1215" spans="1:29" s="11" customFormat="1" ht="12.5" hidden="1">
      <c r="A1215" s="23"/>
      <c r="AA1215" s="33"/>
      <c r="AC1215" s="10"/>
    </row>
    <row r="1216" spans="1:29" s="11" customFormat="1" ht="12.5" hidden="1">
      <c r="A1216" s="23"/>
      <c r="AA1216" s="33"/>
      <c r="AC1216" s="10"/>
    </row>
    <row r="1217" spans="1:29" s="11" customFormat="1" ht="12.5" hidden="1">
      <c r="A1217" s="23"/>
      <c r="AA1217" s="33"/>
      <c r="AC1217" s="10"/>
    </row>
    <row r="1218" spans="1:29" s="11" customFormat="1" ht="12.5" hidden="1">
      <c r="A1218" s="23"/>
      <c r="AA1218" s="33"/>
      <c r="AC1218" s="10"/>
    </row>
    <row r="1219" spans="1:29" s="11" customFormat="1" ht="12.5" hidden="1">
      <c r="A1219" s="23"/>
      <c r="AA1219" s="33"/>
      <c r="AC1219" s="10"/>
    </row>
    <row r="1220" spans="1:29" s="11" customFormat="1" ht="12.5" hidden="1">
      <c r="A1220" s="23"/>
      <c r="AA1220" s="33"/>
      <c r="AC1220" s="10"/>
    </row>
    <row r="1221" spans="1:29" s="11" customFormat="1" ht="12.5" hidden="1">
      <c r="A1221" s="23"/>
      <c r="AA1221" s="33"/>
      <c r="AC1221" s="10"/>
    </row>
    <row r="1222" spans="1:29" s="11" customFormat="1" ht="12.5" hidden="1">
      <c r="A1222" s="23"/>
      <c r="AA1222" s="33"/>
      <c r="AC1222" s="10"/>
    </row>
    <row r="1223" spans="1:29" s="11" customFormat="1" ht="12.5" hidden="1">
      <c r="A1223" s="23"/>
      <c r="AA1223" s="33"/>
      <c r="AC1223" s="10"/>
    </row>
    <row r="1224" spans="1:29" s="11" customFormat="1" ht="12.5" hidden="1">
      <c r="A1224" s="23"/>
      <c r="AA1224" s="33"/>
      <c r="AC1224" s="10"/>
    </row>
    <row r="1225" spans="1:29" s="11" customFormat="1" ht="12.5" hidden="1">
      <c r="A1225" s="23"/>
      <c r="AA1225" s="33"/>
      <c r="AC1225" s="10"/>
    </row>
    <row r="1226" spans="1:29" s="11" customFormat="1" ht="12.5" hidden="1">
      <c r="A1226" s="23"/>
      <c r="AA1226" s="33"/>
      <c r="AC1226" s="10"/>
    </row>
    <row r="1227" spans="1:29" s="11" customFormat="1" ht="12.5" hidden="1">
      <c r="A1227" s="23"/>
      <c r="AA1227" s="33"/>
      <c r="AC1227" s="10"/>
    </row>
    <row r="1228" spans="1:29" s="11" customFormat="1" ht="12.5" hidden="1">
      <c r="A1228" s="23"/>
      <c r="AA1228" s="33"/>
      <c r="AC1228" s="10"/>
    </row>
    <row r="1229" spans="1:29" s="11" customFormat="1" ht="12.5" hidden="1">
      <c r="A1229" s="23"/>
      <c r="AA1229" s="33"/>
      <c r="AC1229" s="10"/>
    </row>
    <row r="1230" spans="1:29" s="11" customFormat="1" ht="12.5" hidden="1">
      <c r="A1230" s="23"/>
      <c r="AA1230" s="33"/>
      <c r="AC1230" s="10"/>
    </row>
    <row r="1231" spans="1:29" s="11" customFormat="1" ht="12.5" hidden="1">
      <c r="A1231" s="23"/>
      <c r="AA1231" s="33"/>
      <c r="AC1231" s="10"/>
    </row>
    <row r="1232" spans="1:29" s="11" customFormat="1" ht="12.5" hidden="1">
      <c r="A1232" s="23"/>
      <c r="AA1232" s="33"/>
      <c r="AC1232" s="10"/>
    </row>
    <row r="1233" spans="1:29" s="11" customFormat="1" ht="12.5" hidden="1">
      <c r="A1233" s="23"/>
      <c r="AA1233" s="33"/>
      <c r="AC1233" s="10"/>
    </row>
    <row r="1234" spans="1:29" s="11" customFormat="1" ht="12.5" hidden="1">
      <c r="A1234" s="23"/>
      <c r="AA1234" s="33"/>
      <c r="AC1234" s="10"/>
    </row>
    <row r="1235" spans="1:29" s="11" customFormat="1" ht="12.5" hidden="1">
      <c r="A1235" s="23"/>
      <c r="AA1235" s="33"/>
      <c r="AC1235" s="10"/>
    </row>
    <row r="1236" spans="1:29" s="11" customFormat="1" ht="12.5" hidden="1">
      <c r="A1236" s="23"/>
      <c r="AA1236" s="33"/>
      <c r="AC1236" s="10"/>
    </row>
    <row r="1237" spans="1:29" s="11" customFormat="1" ht="12.5" hidden="1">
      <c r="A1237" s="23"/>
      <c r="AA1237" s="33"/>
      <c r="AC1237" s="10"/>
    </row>
    <row r="1238" spans="1:29" s="11" customFormat="1" ht="12.5" hidden="1">
      <c r="A1238" s="23"/>
      <c r="AA1238" s="33"/>
      <c r="AC1238" s="10"/>
    </row>
    <row r="1239" spans="1:29" s="11" customFormat="1" ht="12.5" hidden="1">
      <c r="A1239" s="23"/>
      <c r="AA1239" s="33"/>
      <c r="AC1239" s="10"/>
    </row>
    <row r="1240" spans="1:29" s="11" customFormat="1" ht="12.5" hidden="1">
      <c r="A1240" s="23"/>
      <c r="AA1240" s="33"/>
      <c r="AC1240" s="10"/>
    </row>
    <row r="1241" spans="1:29" s="11" customFormat="1" ht="12.5" hidden="1">
      <c r="A1241" s="23"/>
      <c r="AA1241" s="33"/>
      <c r="AC1241" s="10"/>
    </row>
    <row r="1242" spans="1:29" s="11" customFormat="1" ht="12.5" hidden="1">
      <c r="A1242" s="23"/>
      <c r="AA1242" s="33"/>
      <c r="AC1242" s="10"/>
    </row>
    <row r="1243" spans="1:29" s="11" customFormat="1" ht="12.5" hidden="1">
      <c r="A1243" s="23"/>
      <c r="AA1243" s="33"/>
      <c r="AC1243" s="10"/>
    </row>
    <row r="1244" spans="1:29" s="11" customFormat="1" ht="12.5" hidden="1">
      <c r="A1244" s="23"/>
      <c r="AA1244" s="33"/>
      <c r="AC1244" s="10"/>
    </row>
    <row r="1245" spans="1:29" s="11" customFormat="1" ht="12.5" hidden="1">
      <c r="A1245" s="23"/>
      <c r="AA1245" s="33"/>
      <c r="AC1245" s="10"/>
    </row>
    <row r="1246" spans="1:29" s="11" customFormat="1" ht="12.5" hidden="1">
      <c r="A1246" s="23"/>
      <c r="AA1246" s="33"/>
      <c r="AC1246" s="10"/>
    </row>
    <row r="1247" spans="1:29" s="11" customFormat="1" ht="12.5" hidden="1">
      <c r="A1247" s="23"/>
      <c r="AA1247" s="33"/>
      <c r="AC1247" s="10"/>
    </row>
    <row r="1248" spans="1:29" s="11" customFormat="1" ht="12.5" hidden="1">
      <c r="A1248" s="23"/>
      <c r="AA1248" s="33"/>
      <c r="AC1248" s="10"/>
    </row>
    <row r="1249" spans="1:29" s="11" customFormat="1" ht="12.5" hidden="1">
      <c r="A1249" s="23"/>
      <c r="AA1249" s="33"/>
      <c r="AC1249" s="10"/>
    </row>
    <row r="1250" spans="1:29" s="11" customFormat="1" ht="12.5" hidden="1">
      <c r="A1250" s="23"/>
      <c r="AA1250" s="33"/>
      <c r="AC1250" s="10"/>
    </row>
    <row r="1251" spans="1:29" s="11" customFormat="1" ht="12.5" hidden="1">
      <c r="A1251" s="23"/>
      <c r="AA1251" s="33"/>
      <c r="AC1251" s="10"/>
    </row>
    <row r="1252" spans="1:29" s="11" customFormat="1" ht="12.5" hidden="1">
      <c r="A1252" s="23"/>
      <c r="AA1252" s="33"/>
      <c r="AC1252" s="10"/>
    </row>
    <row r="1253" spans="1:29" s="11" customFormat="1" ht="12.5" hidden="1">
      <c r="A1253" s="23"/>
      <c r="AA1253" s="33"/>
      <c r="AC1253" s="10"/>
    </row>
    <row r="1254" spans="1:29" s="11" customFormat="1" ht="12.5" hidden="1">
      <c r="A1254" s="23"/>
      <c r="AA1254" s="33"/>
      <c r="AC1254" s="10"/>
    </row>
    <row r="1255" spans="1:29" s="11" customFormat="1" ht="12.5" hidden="1">
      <c r="A1255" s="23"/>
      <c r="AA1255" s="33"/>
      <c r="AC1255" s="10"/>
    </row>
    <row r="1256" spans="1:29" s="11" customFormat="1" ht="12.5" hidden="1">
      <c r="A1256" s="23"/>
      <c r="AA1256" s="33"/>
      <c r="AC1256" s="10"/>
    </row>
    <row r="1257" spans="1:29" s="11" customFormat="1" ht="12.5" hidden="1">
      <c r="A1257" s="23"/>
      <c r="AA1257" s="33"/>
      <c r="AC1257" s="10"/>
    </row>
    <row r="1258" spans="1:29" s="11" customFormat="1" ht="12.5" hidden="1">
      <c r="A1258" s="23"/>
      <c r="AA1258" s="33"/>
      <c r="AC1258" s="10"/>
    </row>
    <row r="1259" spans="1:29" s="11" customFormat="1" ht="12.5" hidden="1">
      <c r="A1259" s="23"/>
      <c r="AA1259" s="33"/>
      <c r="AC1259" s="10"/>
    </row>
    <row r="1260" spans="1:29" s="11" customFormat="1" ht="12.5" hidden="1">
      <c r="A1260" s="23"/>
      <c r="AA1260" s="33"/>
      <c r="AC1260" s="10"/>
    </row>
    <row r="1261" spans="1:29" s="11" customFormat="1" ht="12.5" hidden="1">
      <c r="A1261" s="23"/>
      <c r="AA1261" s="33"/>
      <c r="AC1261" s="10"/>
    </row>
    <row r="1262" spans="1:29" s="11" customFormat="1" ht="12.5" hidden="1">
      <c r="A1262" s="23"/>
      <c r="AA1262" s="33"/>
      <c r="AC1262" s="10"/>
    </row>
    <row r="1263" spans="1:29" s="11" customFormat="1" ht="12.5" hidden="1">
      <c r="A1263" s="23"/>
      <c r="AA1263" s="33"/>
      <c r="AC1263" s="10"/>
    </row>
    <row r="1264" spans="1:29" s="11" customFormat="1" ht="12.5" hidden="1">
      <c r="A1264" s="23"/>
      <c r="AA1264" s="33"/>
      <c r="AC1264" s="10"/>
    </row>
    <row r="1265" spans="1:29" s="11" customFormat="1" ht="12.5" hidden="1">
      <c r="A1265" s="23"/>
      <c r="AA1265" s="33"/>
      <c r="AC1265" s="10"/>
    </row>
    <row r="1266" spans="1:29" s="11" customFormat="1" ht="12.5" hidden="1">
      <c r="A1266" s="23"/>
      <c r="AA1266" s="33"/>
      <c r="AC1266" s="10"/>
    </row>
    <row r="1267" spans="1:29" s="11" customFormat="1" ht="12.5" hidden="1">
      <c r="A1267" s="23"/>
      <c r="AA1267" s="33"/>
      <c r="AC1267" s="10"/>
    </row>
    <row r="1268" spans="1:29" s="11" customFormat="1" ht="12.5" hidden="1">
      <c r="A1268" s="23"/>
      <c r="AA1268" s="33"/>
      <c r="AC1268" s="10"/>
    </row>
    <row r="1269" spans="1:29" s="11" customFormat="1" ht="12.5" hidden="1">
      <c r="A1269" s="23"/>
      <c r="AA1269" s="33"/>
      <c r="AC1269" s="10"/>
    </row>
    <row r="1270" spans="1:29" s="11" customFormat="1" ht="12.5" hidden="1">
      <c r="A1270" s="23"/>
      <c r="AA1270" s="33"/>
      <c r="AC1270" s="10"/>
    </row>
    <row r="1271" spans="1:29" s="11" customFormat="1" ht="12.5" hidden="1">
      <c r="A1271" s="23"/>
      <c r="AA1271" s="33"/>
      <c r="AC1271" s="10"/>
    </row>
    <row r="1272" spans="1:29" s="11" customFormat="1" ht="12.5" hidden="1">
      <c r="A1272" s="23"/>
      <c r="AA1272" s="33"/>
      <c r="AC1272" s="10"/>
    </row>
    <row r="1273" spans="1:29" s="11" customFormat="1" ht="12.5" hidden="1">
      <c r="A1273" s="23"/>
      <c r="AA1273" s="33"/>
      <c r="AC1273" s="10"/>
    </row>
    <row r="1274" spans="1:29" s="11" customFormat="1" ht="12.5" hidden="1">
      <c r="A1274" s="23"/>
      <c r="AA1274" s="33"/>
      <c r="AC1274" s="10"/>
    </row>
    <row r="1275" spans="1:29" s="11" customFormat="1" ht="12.5" hidden="1">
      <c r="A1275" s="23"/>
      <c r="AA1275" s="33"/>
      <c r="AC1275" s="10"/>
    </row>
    <row r="1276" spans="1:29" s="11" customFormat="1" ht="12.5" hidden="1">
      <c r="A1276" s="23"/>
      <c r="AA1276" s="33"/>
      <c r="AC1276" s="10"/>
    </row>
    <row r="1277" spans="1:29" s="11" customFormat="1" ht="12.5" hidden="1">
      <c r="A1277" s="23"/>
      <c r="AA1277" s="33"/>
      <c r="AC1277" s="10"/>
    </row>
    <row r="1278" spans="1:29" s="11" customFormat="1" ht="12.5" hidden="1">
      <c r="A1278" s="23"/>
      <c r="AA1278" s="33"/>
      <c r="AC1278" s="10"/>
    </row>
    <row r="1279" spans="1:29" s="11" customFormat="1" ht="12.5" hidden="1">
      <c r="A1279" s="23"/>
      <c r="AA1279" s="33"/>
      <c r="AC1279" s="10"/>
    </row>
    <row r="1280" spans="1:29" s="11" customFormat="1" ht="12.5" hidden="1">
      <c r="A1280" s="23"/>
      <c r="AA1280" s="33"/>
      <c r="AC1280" s="10"/>
    </row>
    <row r="1281" spans="1:29" s="11" customFormat="1" ht="12.5" hidden="1">
      <c r="A1281" s="23"/>
      <c r="AA1281" s="33"/>
      <c r="AC1281" s="10"/>
    </row>
    <row r="1282" spans="1:29" s="11" customFormat="1" ht="12.5" hidden="1">
      <c r="A1282" s="23"/>
      <c r="AA1282" s="33"/>
      <c r="AC1282" s="10"/>
    </row>
    <row r="1283" spans="1:29" s="11" customFormat="1" ht="12.5" hidden="1">
      <c r="A1283" s="23"/>
      <c r="AA1283" s="33"/>
      <c r="AC1283" s="10"/>
    </row>
    <row r="1284" spans="1:29" s="11" customFormat="1" ht="12.5" hidden="1">
      <c r="A1284" s="23"/>
      <c r="AA1284" s="33"/>
      <c r="AC1284" s="10"/>
    </row>
    <row r="1285" spans="1:29" s="11" customFormat="1" ht="12.5" hidden="1">
      <c r="A1285" s="23"/>
      <c r="AA1285" s="33"/>
      <c r="AC1285" s="10"/>
    </row>
    <row r="1286" spans="1:29" s="11" customFormat="1" ht="12.5" hidden="1">
      <c r="A1286" s="23"/>
      <c r="AA1286" s="33"/>
      <c r="AC1286" s="10"/>
    </row>
    <row r="1287" spans="1:29" s="11" customFormat="1" ht="12.5" hidden="1">
      <c r="A1287" s="23"/>
      <c r="AA1287" s="33"/>
      <c r="AC1287" s="10"/>
    </row>
    <row r="1288" spans="1:29" s="11" customFormat="1" ht="12.5" hidden="1">
      <c r="A1288" s="23"/>
      <c r="AA1288" s="33"/>
      <c r="AC1288" s="10"/>
    </row>
    <row r="1289" spans="1:29" s="11" customFormat="1" ht="12.5" hidden="1">
      <c r="A1289" s="23"/>
      <c r="AA1289" s="33"/>
      <c r="AC1289" s="10"/>
    </row>
    <row r="1290" spans="1:29" s="11" customFormat="1" ht="12.5" hidden="1">
      <c r="A1290" s="23"/>
      <c r="AA1290" s="33"/>
      <c r="AC1290" s="10"/>
    </row>
    <row r="1291" spans="1:29" s="11" customFormat="1" ht="12.5" hidden="1">
      <c r="A1291" s="23"/>
      <c r="AA1291" s="33"/>
      <c r="AC1291" s="10"/>
    </row>
    <row r="1292" spans="1:29" s="11" customFormat="1" ht="12.5" hidden="1">
      <c r="A1292" s="23"/>
      <c r="AA1292" s="33"/>
      <c r="AC1292" s="10"/>
    </row>
    <row r="1293" spans="1:29" s="11" customFormat="1" ht="12.5" hidden="1">
      <c r="A1293" s="23"/>
      <c r="AA1293" s="33"/>
      <c r="AC1293" s="10"/>
    </row>
    <row r="1294" spans="1:29" s="11" customFormat="1" ht="12.5" hidden="1">
      <c r="A1294" s="23"/>
      <c r="AA1294" s="33"/>
      <c r="AC1294" s="10"/>
    </row>
  </sheetData>
  <sheetProtection password="8447" sheet="1" selectLockedCells="1"/>
  <mergeCells count="232">
    <mergeCell ref="R8:V8"/>
    <mergeCell ref="J17:K17"/>
    <mergeCell ref="L17:M17"/>
    <mergeCell ref="N17:O17"/>
    <mergeCell ref="P17:Q17"/>
    <mergeCell ref="R17:V17"/>
    <mergeCell ref="E4:N4"/>
    <mergeCell ref="C7:D7"/>
    <mergeCell ref="C8:D8"/>
    <mergeCell ref="D11:H11"/>
    <mergeCell ref="D12:H12"/>
    <mergeCell ref="L12:Y12"/>
    <mergeCell ref="X7:Z7"/>
    <mergeCell ref="X8:Z8"/>
    <mergeCell ref="E5:O5"/>
    <mergeCell ref="O8:Q8"/>
    <mergeCell ref="W17:Z17"/>
    <mergeCell ref="C15:Z15"/>
    <mergeCell ref="D16:I16"/>
    <mergeCell ref="J16:K16"/>
    <mergeCell ref="L16:M16"/>
    <mergeCell ref="N16:O16"/>
    <mergeCell ref="P16:Q16"/>
    <mergeCell ref="R16:V16"/>
    <mergeCell ref="W16:Z16"/>
    <mergeCell ref="D17:I17"/>
    <mergeCell ref="L18:M18"/>
    <mergeCell ref="N18:O18"/>
    <mergeCell ref="P18:Q18"/>
    <mergeCell ref="R18:V18"/>
    <mergeCell ref="W20:Z20"/>
    <mergeCell ref="D21:I21"/>
    <mergeCell ref="J21:K21"/>
    <mergeCell ref="L21:M21"/>
    <mergeCell ref="N21:O21"/>
    <mergeCell ref="P21:Q21"/>
    <mergeCell ref="W18:Z18"/>
    <mergeCell ref="D19:I19"/>
    <mergeCell ref="J19:K19"/>
    <mergeCell ref="L19:M19"/>
    <mergeCell ref="N19:O19"/>
    <mergeCell ref="P19:Q19"/>
    <mergeCell ref="R19:V19"/>
    <mergeCell ref="W19:Z19"/>
    <mergeCell ref="D18:I18"/>
    <mergeCell ref="J18:K18"/>
    <mergeCell ref="R23:V23"/>
    <mergeCell ref="W23:Z23"/>
    <mergeCell ref="D22:I22"/>
    <mergeCell ref="J22:K22"/>
    <mergeCell ref="R21:V21"/>
    <mergeCell ref="W21:Z21"/>
    <mergeCell ref="D20:I20"/>
    <mergeCell ref="J20:K20"/>
    <mergeCell ref="L20:M20"/>
    <mergeCell ref="N20:O20"/>
    <mergeCell ref="P20:Q20"/>
    <mergeCell ref="R20:V20"/>
    <mergeCell ref="R25:V25"/>
    <mergeCell ref="W25:Z25"/>
    <mergeCell ref="D24:I24"/>
    <mergeCell ref="J24:K24"/>
    <mergeCell ref="L24:M24"/>
    <mergeCell ref="N24:O24"/>
    <mergeCell ref="P24:Q24"/>
    <mergeCell ref="R24:V24"/>
    <mergeCell ref="L22:M22"/>
    <mergeCell ref="N22:O22"/>
    <mergeCell ref="P22:Q22"/>
    <mergeCell ref="R22:V22"/>
    <mergeCell ref="W24:Z24"/>
    <mergeCell ref="D25:I25"/>
    <mergeCell ref="J25:K25"/>
    <mergeCell ref="L25:M25"/>
    <mergeCell ref="N25:O25"/>
    <mergeCell ref="P25:Q25"/>
    <mergeCell ref="W22:Z22"/>
    <mergeCell ref="D23:I23"/>
    <mergeCell ref="J23:K23"/>
    <mergeCell ref="L23:M23"/>
    <mergeCell ref="N23:O23"/>
    <mergeCell ref="P23:Q23"/>
    <mergeCell ref="L26:M26"/>
    <mergeCell ref="N26:O26"/>
    <mergeCell ref="P26:Q26"/>
    <mergeCell ref="R26:V26"/>
    <mergeCell ref="W28:Z28"/>
    <mergeCell ref="D29:I29"/>
    <mergeCell ref="J29:K29"/>
    <mergeCell ref="L29:M29"/>
    <mergeCell ref="N29:O29"/>
    <mergeCell ref="P29:Q29"/>
    <mergeCell ref="W26:Z26"/>
    <mergeCell ref="D27:I27"/>
    <mergeCell ref="J27:K27"/>
    <mergeCell ref="L27:M27"/>
    <mergeCell ref="N27:O27"/>
    <mergeCell ref="P27:Q27"/>
    <mergeCell ref="R27:V27"/>
    <mergeCell ref="W27:Z27"/>
    <mergeCell ref="D26:I26"/>
    <mergeCell ref="J26:K26"/>
    <mergeCell ref="R31:V31"/>
    <mergeCell ref="W31:Z31"/>
    <mergeCell ref="D30:I30"/>
    <mergeCell ref="J30:K30"/>
    <mergeCell ref="R29:V29"/>
    <mergeCell ref="W29:Z29"/>
    <mergeCell ref="D28:I28"/>
    <mergeCell ref="J28:K28"/>
    <mergeCell ref="L28:M28"/>
    <mergeCell ref="N28:O28"/>
    <mergeCell ref="P28:Q28"/>
    <mergeCell ref="R28:V28"/>
    <mergeCell ref="R33:V33"/>
    <mergeCell ref="W33:Z33"/>
    <mergeCell ref="D32:I32"/>
    <mergeCell ref="J32:K32"/>
    <mergeCell ref="L32:M32"/>
    <mergeCell ref="N32:O32"/>
    <mergeCell ref="P32:Q32"/>
    <mergeCell ref="R32:V32"/>
    <mergeCell ref="L30:M30"/>
    <mergeCell ref="N30:O30"/>
    <mergeCell ref="P30:Q30"/>
    <mergeCell ref="R30:V30"/>
    <mergeCell ref="W32:Z32"/>
    <mergeCell ref="D33:I33"/>
    <mergeCell ref="J33:K33"/>
    <mergeCell ref="L33:M33"/>
    <mergeCell ref="N33:O33"/>
    <mergeCell ref="P33:Q33"/>
    <mergeCell ref="W30:Z30"/>
    <mergeCell ref="D31:I31"/>
    <mergeCell ref="J31:K31"/>
    <mergeCell ref="L31:M31"/>
    <mergeCell ref="N31:O31"/>
    <mergeCell ref="P31:Q31"/>
    <mergeCell ref="L34:M34"/>
    <mergeCell ref="N34:O34"/>
    <mergeCell ref="P34:Q34"/>
    <mergeCell ref="R34:V34"/>
    <mergeCell ref="W36:Z36"/>
    <mergeCell ref="D37:I37"/>
    <mergeCell ref="J37:K37"/>
    <mergeCell ref="L37:M37"/>
    <mergeCell ref="N37:O37"/>
    <mergeCell ref="P37:Q37"/>
    <mergeCell ref="W34:Z34"/>
    <mergeCell ref="D35:I35"/>
    <mergeCell ref="J35:K35"/>
    <mergeCell ref="L35:M35"/>
    <mergeCell ref="N35:O35"/>
    <mergeCell ref="P35:Q35"/>
    <mergeCell ref="R35:V35"/>
    <mergeCell ref="W35:Z35"/>
    <mergeCell ref="D34:I34"/>
    <mergeCell ref="J34:K34"/>
    <mergeCell ref="R39:V39"/>
    <mergeCell ref="W39:Z39"/>
    <mergeCell ref="D38:I38"/>
    <mergeCell ref="J38:K38"/>
    <mergeCell ref="R37:V37"/>
    <mergeCell ref="W37:Z37"/>
    <mergeCell ref="D36:I36"/>
    <mergeCell ref="J36:K36"/>
    <mergeCell ref="L36:M36"/>
    <mergeCell ref="N36:O36"/>
    <mergeCell ref="P36:Q36"/>
    <mergeCell ref="R36:V36"/>
    <mergeCell ref="R41:V41"/>
    <mergeCell ref="W41:Z41"/>
    <mergeCell ref="D40:I40"/>
    <mergeCell ref="J40:K40"/>
    <mergeCell ref="L40:M40"/>
    <mergeCell ref="N40:O40"/>
    <mergeCell ref="P40:Q40"/>
    <mergeCell ref="R40:V40"/>
    <mergeCell ref="L38:M38"/>
    <mergeCell ref="N38:O38"/>
    <mergeCell ref="P38:Q38"/>
    <mergeCell ref="R38:V38"/>
    <mergeCell ref="W40:Z40"/>
    <mergeCell ref="D41:I41"/>
    <mergeCell ref="J41:K41"/>
    <mergeCell ref="L41:M41"/>
    <mergeCell ref="N41:O41"/>
    <mergeCell ref="P41:Q41"/>
    <mergeCell ref="W38:Z38"/>
    <mergeCell ref="D39:I39"/>
    <mergeCell ref="J39:K39"/>
    <mergeCell ref="L39:M39"/>
    <mergeCell ref="N39:O39"/>
    <mergeCell ref="P39:Q39"/>
    <mergeCell ref="J45:K45"/>
    <mergeCell ref="L45:M45"/>
    <mergeCell ref="N45:O45"/>
    <mergeCell ref="P45:Q45"/>
    <mergeCell ref="W42:Z42"/>
    <mergeCell ref="D43:I43"/>
    <mergeCell ref="J43:K43"/>
    <mergeCell ref="L43:M43"/>
    <mergeCell ref="N43:O43"/>
    <mergeCell ref="P43:Q43"/>
    <mergeCell ref="R43:V43"/>
    <mergeCell ref="W43:Z43"/>
    <mergeCell ref="D42:I42"/>
    <mergeCell ref="J42:K42"/>
    <mergeCell ref="X4:Z5"/>
    <mergeCell ref="W46:Z46"/>
    <mergeCell ref="P47:Q47"/>
    <mergeCell ref="R47:V47"/>
    <mergeCell ref="D46:I46"/>
    <mergeCell ref="J46:K46"/>
    <mergeCell ref="L46:M46"/>
    <mergeCell ref="N46:O46"/>
    <mergeCell ref="P46:Q46"/>
    <mergeCell ref="R46:V46"/>
    <mergeCell ref="R45:V45"/>
    <mergeCell ref="W45:Z45"/>
    <mergeCell ref="D44:I44"/>
    <mergeCell ref="J44:K44"/>
    <mergeCell ref="L44:M44"/>
    <mergeCell ref="N44:O44"/>
    <mergeCell ref="P44:Q44"/>
    <mergeCell ref="R44:V44"/>
    <mergeCell ref="L42:M42"/>
    <mergeCell ref="N42:O42"/>
    <mergeCell ref="P42:Q42"/>
    <mergeCell ref="R42:V42"/>
    <mergeCell ref="W44:Z44"/>
    <mergeCell ref="D45:I45"/>
  </mergeCells>
  <conditionalFormatting sqref="X8:Z8 D12:H12 L12:Y12">
    <cfRule type="cellIs" dxfId="4" priority="1" stopIfTrue="1" operator="equal">
      <formula>0</formula>
    </cfRule>
  </conditionalFormatting>
  <dataValidations count="6">
    <dataValidation type="list" showInputMessage="1" showErrorMessage="1" errorTitle="Error" error="Debe elejir una de las opciones en la lista" sqref="W17:Z46" xr:uid="{C2E2D9D1-0977-45EC-A9A8-35ABDFB59B9B}">
      <formula1>"Contribuyente,Hijo(a)"</formula1>
    </dataValidation>
    <dataValidation type="list" showInputMessage="1" showErrorMessage="1" errorTitle="Error" error="Debe elejir una de las opciones de la lista" sqref="L17:M46" xr:uid="{668176B2-D196-493C-9B04-3170746BBAE1}">
      <formula1>"Pre-escolar,Primario,Secundario,Universitario,Técnico"</formula1>
    </dataValidation>
    <dataValidation allowBlank="1" showInputMessage="1" showErrorMessage="1" promptTitle="VALIDACION RNC O CEDULA" prompt="La longitud de este campo es la siguiente:_x000a__x000a_RNC (9 POSICIONES)_x000a_CEDULA (11 POSICIONES)" sqref="D17:I46" xr:uid="{F5513244-3470-4831-8812-C0DF9FD32BAC}"/>
    <dataValidation type="list" allowBlank="1" showInputMessage="1" showErrorMessage="1" promptTitle="Tipo ID" prompt="1 RNC_x000a_2 CEDULA" sqref="J17:K46" xr:uid="{893F3CEA-EDB0-4DE1-A716-E3129BE77DA5}">
      <formula1>"1,2"</formula1>
    </dataValidation>
    <dataValidation allowBlank="1" showInputMessage="1" showErrorMessage="1" promptTitle="NCF" prompt="11 o 19 Dígitos" sqref="N17:O46" xr:uid="{3E6C572B-A3C7-44EB-9C65-266023C6E543}"/>
    <dataValidation type="decimal" operator="greaterThanOrEqual" allowBlank="1" showInputMessage="1" showErrorMessage="1" sqref="R17:V46" xr:uid="{6B10DA94-BC48-4898-98CE-0FB6FD046124}">
      <formula1>0</formula1>
    </dataValidation>
  </dataValidations>
  <pageMargins left="0.44" right="0.27" top="0.52" bottom="1" header="0.5" footer="0.5"/>
  <pageSetup scale="5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B7D8-92CE-4E10-9F6B-A826C70C630A}">
  <sheetPr codeName="Sheet2">
    <tabColor theme="0" tint="-0.34998626667073579"/>
  </sheetPr>
  <dimension ref="A1:IL66"/>
  <sheetViews>
    <sheetView zoomScale="85" zoomScaleNormal="85" workbookViewId="0">
      <selection activeCell="T18" sqref="T18:V18"/>
    </sheetView>
  </sheetViews>
  <sheetFormatPr baseColWidth="10" defaultColWidth="0" defaultRowHeight="0" customHeight="1" zeroHeight="1"/>
  <cols>
    <col min="1" max="1" width="1" style="18" customWidth="1"/>
    <col min="2" max="2" width="1.7265625" style="13" customWidth="1"/>
    <col min="3" max="3" width="5.54296875" style="14" customWidth="1"/>
    <col min="4" max="4" width="3.81640625" style="14" customWidth="1"/>
    <col min="5" max="5" width="5.7265625" style="14" customWidth="1"/>
    <col min="6" max="6" width="2.453125" style="14" customWidth="1"/>
    <col min="7" max="7" width="4.453125" style="14" customWidth="1"/>
    <col min="8" max="8" width="5" style="14" customWidth="1"/>
    <col min="9" max="9" width="1.7265625" style="14" customWidth="1"/>
    <col min="10" max="10" width="10.453125" style="14" customWidth="1"/>
    <col min="11" max="11" width="9.7265625" style="14" customWidth="1"/>
    <col min="12" max="12" width="10.54296875" style="14" customWidth="1"/>
    <col min="13" max="13" width="22.26953125" style="14" customWidth="1"/>
    <col min="14" max="14" width="11.1796875" style="14" customWidth="1"/>
    <col min="15" max="15" width="6.1796875" style="14" customWidth="1"/>
    <col min="16" max="16" width="15" style="14" customWidth="1"/>
    <col min="17" max="18" width="5.7265625" style="13" customWidth="1"/>
    <col min="19" max="19" width="13" style="13" customWidth="1"/>
    <col min="20" max="21" width="5.7265625" style="13" customWidth="1"/>
    <col min="22" max="22" width="11.453125" style="13" customWidth="1"/>
    <col min="23" max="24" width="5.7265625" style="14" customWidth="1"/>
    <col min="25" max="25" width="11.453125" style="14" customWidth="1"/>
    <col min="26" max="26" width="2" style="13" customWidth="1"/>
    <col min="27" max="27" width="0.81640625" style="13" customWidth="1"/>
    <col min="28" max="28" width="5.7265625" style="13" hidden="1" customWidth="1"/>
    <col min="29" max="29" width="0.453125" style="13" hidden="1" customWidth="1"/>
    <col min="30" max="37" width="5.7265625" style="13" hidden="1" customWidth="1"/>
    <col min="38" max="43" width="0" style="13" hidden="1" customWidth="1"/>
    <col min="44" max="16384" width="0" style="14" hidden="1"/>
  </cols>
  <sheetData>
    <row r="1" spans="1:246" s="13" customFormat="1" ht="5.2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</row>
    <row r="2" spans="1:246" ht="6" customHeight="1">
      <c r="A2" s="34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  <c r="R2" s="18"/>
      <c r="S2" s="18"/>
      <c r="T2" s="18"/>
      <c r="U2" s="18"/>
      <c r="V2" s="18"/>
      <c r="W2" s="18"/>
      <c r="X2" s="18"/>
      <c r="Y2" s="18"/>
      <c r="Z2" s="35"/>
      <c r="AA2" s="34"/>
    </row>
    <row r="3" spans="1:246" ht="6" customHeight="1">
      <c r="A3" s="34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  <c r="R3" s="18"/>
      <c r="S3" s="18"/>
      <c r="T3" s="18"/>
      <c r="U3" s="18"/>
      <c r="V3" s="18"/>
      <c r="W3" s="18"/>
      <c r="X3" s="18"/>
      <c r="Y3" s="18"/>
      <c r="Z3" s="35"/>
      <c r="AA3" s="34"/>
    </row>
    <row r="4" spans="1:246" ht="20.149999999999999" customHeight="1">
      <c r="A4" s="34"/>
      <c r="B4" s="17"/>
      <c r="C4" s="22"/>
      <c r="D4" s="22"/>
      <c r="E4" s="22"/>
      <c r="F4" s="18"/>
      <c r="G4" s="18"/>
      <c r="H4" s="18"/>
      <c r="I4" s="18"/>
      <c r="J4" s="18"/>
      <c r="K4" s="18"/>
      <c r="L4" s="18"/>
      <c r="M4" s="18"/>
      <c r="N4" s="18"/>
      <c r="O4" s="18"/>
      <c r="P4" s="43"/>
      <c r="Q4" s="18"/>
      <c r="R4" s="18"/>
      <c r="S4" s="18"/>
      <c r="T4" s="18"/>
      <c r="U4" s="18"/>
      <c r="V4" s="18"/>
      <c r="W4" s="230" t="s">
        <v>76</v>
      </c>
      <c r="X4" s="230"/>
      <c r="Y4" s="230"/>
      <c r="Z4" s="35"/>
      <c r="AA4" s="34"/>
    </row>
    <row r="5" spans="1:246" ht="20.149999999999999" customHeight="1" thickBot="1">
      <c r="A5" s="34"/>
      <c r="B5" s="17"/>
      <c r="C5" s="22"/>
      <c r="D5" s="22"/>
      <c r="E5" s="22"/>
      <c r="F5" s="18"/>
      <c r="G5" s="255" t="s">
        <v>161</v>
      </c>
      <c r="H5" s="255"/>
      <c r="I5" s="255"/>
      <c r="J5" s="255"/>
      <c r="K5" s="255"/>
      <c r="L5" s="255"/>
      <c r="M5" s="255"/>
      <c r="N5" s="255"/>
      <c r="O5" s="255"/>
      <c r="P5" s="255"/>
      <c r="Q5" s="18"/>
      <c r="R5" s="18"/>
      <c r="S5" s="18"/>
      <c r="W5" s="230"/>
      <c r="X5" s="230"/>
      <c r="Y5" s="230"/>
      <c r="Z5" s="35"/>
      <c r="AA5" s="34"/>
    </row>
    <row r="6" spans="1:246" ht="34.5" customHeight="1">
      <c r="A6" s="34"/>
      <c r="B6" s="17"/>
      <c r="C6" s="18"/>
      <c r="D6" s="26"/>
      <c r="E6" s="26"/>
      <c r="F6" s="18"/>
      <c r="G6" s="278" t="s">
        <v>75</v>
      </c>
      <c r="H6" s="278"/>
      <c r="I6" s="278"/>
      <c r="J6" s="278"/>
      <c r="K6" s="278"/>
      <c r="L6" s="278"/>
      <c r="M6" s="278"/>
      <c r="N6" s="278"/>
      <c r="O6" s="278"/>
      <c r="P6" s="278"/>
      <c r="Q6" s="265"/>
      <c r="R6" s="265"/>
      <c r="S6" s="265"/>
      <c r="W6" s="260" t="s">
        <v>56</v>
      </c>
      <c r="X6" s="260"/>
      <c r="Y6" s="260"/>
      <c r="AA6" s="34"/>
    </row>
    <row r="7" spans="1:246" ht="15" customHeight="1">
      <c r="A7" s="34"/>
      <c r="B7" s="17"/>
      <c r="C7" s="256" t="s">
        <v>197</v>
      </c>
      <c r="D7" s="256"/>
      <c r="E7" s="256"/>
      <c r="F7" s="25"/>
      <c r="G7" s="22"/>
      <c r="H7" s="22"/>
      <c r="I7" s="22"/>
      <c r="J7" s="22"/>
      <c r="K7" s="22"/>
      <c r="L7" s="22"/>
      <c r="M7" s="22"/>
      <c r="N7" s="18"/>
      <c r="O7" s="18"/>
      <c r="P7" s="18"/>
      <c r="Q7" s="18"/>
      <c r="R7" s="18"/>
      <c r="S7" s="18"/>
      <c r="T7" s="18"/>
      <c r="U7" s="18"/>
      <c r="V7" s="18"/>
      <c r="W7" s="258">
        <f>AÑO_FISCAL</f>
        <v>0</v>
      </c>
      <c r="X7" s="258"/>
      <c r="Y7" s="258"/>
      <c r="AA7" s="34"/>
    </row>
    <row r="8" spans="1:246" ht="13.5" customHeight="1">
      <c r="A8" s="34"/>
      <c r="B8" s="17"/>
      <c r="C8" s="256"/>
      <c r="D8" s="256"/>
      <c r="E8" s="256"/>
      <c r="F8" s="27"/>
      <c r="G8" s="22"/>
      <c r="H8" s="22"/>
      <c r="I8" s="22"/>
      <c r="J8" s="22"/>
      <c r="K8" s="22"/>
      <c r="L8" s="22"/>
      <c r="M8" s="22"/>
      <c r="N8" s="18"/>
      <c r="O8" s="18"/>
      <c r="P8" s="18"/>
      <c r="Q8" s="18"/>
      <c r="R8" s="18"/>
      <c r="S8" s="18"/>
      <c r="T8" s="18"/>
      <c r="U8" s="18"/>
      <c r="V8" s="18"/>
      <c r="W8" s="258"/>
      <c r="X8" s="258"/>
      <c r="Y8" s="258"/>
      <c r="AA8" s="34"/>
    </row>
    <row r="9" spans="1:246" ht="13.5" customHeight="1" thickBot="1">
      <c r="A9" s="34"/>
      <c r="B9" s="17"/>
      <c r="C9" s="18"/>
      <c r="D9" s="27"/>
      <c r="E9" s="18"/>
      <c r="F9" s="22"/>
      <c r="G9" s="22"/>
      <c r="H9" s="22"/>
      <c r="I9" s="22"/>
      <c r="J9" s="22"/>
      <c r="K9" s="22"/>
      <c r="L9" s="22"/>
      <c r="M9" s="22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AA9" s="34"/>
    </row>
    <row r="10" spans="1:246" ht="23.25" customHeight="1">
      <c r="A10" s="34"/>
      <c r="B10" s="17"/>
      <c r="C10" s="97"/>
      <c r="D10" s="104" t="s">
        <v>53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6"/>
      <c r="AA10" s="34"/>
    </row>
    <row r="11" spans="1:246" ht="23.25" customHeight="1">
      <c r="A11" s="34"/>
      <c r="B11" s="17"/>
      <c r="C11" s="92"/>
      <c r="D11" s="273" t="s">
        <v>168</v>
      </c>
      <c r="E11" s="273"/>
      <c r="F11" s="273"/>
      <c r="G11" s="273"/>
      <c r="H11" s="273"/>
      <c r="I11" s="18"/>
      <c r="J11" s="18"/>
      <c r="K11" s="18"/>
      <c r="L11" s="64" t="s">
        <v>118</v>
      </c>
      <c r="M11" s="63"/>
      <c r="N11" s="63"/>
      <c r="O11" s="63"/>
      <c r="P11" s="63"/>
      <c r="Q11" s="63"/>
      <c r="R11" s="63"/>
      <c r="S11" s="63"/>
      <c r="T11" s="63"/>
      <c r="U11" s="23"/>
      <c r="V11" s="23"/>
      <c r="W11" s="23"/>
      <c r="X11" s="23"/>
      <c r="Y11" s="107"/>
      <c r="AA11" s="34"/>
    </row>
    <row r="12" spans="1:246" ht="23.25" customHeight="1">
      <c r="A12" s="34"/>
      <c r="B12" s="17"/>
      <c r="C12" s="92"/>
      <c r="D12" s="258">
        <f>RNC</f>
        <v>0</v>
      </c>
      <c r="E12" s="258"/>
      <c r="F12" s="258"/>
      <c r="G12" s="258"/>
      <c r="H12" s="258"/>
      <c r="I12" s="18"/>
      <c r="J12" s="18"/>
      <c r="K12" s="18"/>
      <c r="L12" s="274">
        <f>NOMBRE</f>
        <v>0</v>
      </c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6"/>
      <c r="Y12" s="107"/>
      <c r="AA12" s="34"/>
    </row>
    <row r="13" spans="1:246" ht="23.25" customHeight="1" thickBot="1">
      <c r="A13" s="34"/>
      <c r="B13" s="17"/>
      <c r="C13" s="93"/>
      <c r="D13" s="91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96"/>
      <c r="AA13" s="34"/>
    </row>
    <row r="14" spans="1:246" s="13" customFormat="1" ht="6" customHeight="1" thickBot="1">
      <c r="A14" s="34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U14" s="18"/>
      <c r="V14" s="18"/>
      <c r="W14" s="18"/>
      <c r="X14" s="18"/>
      <c r="Y14" s="18"/>
      <c r="AA14" s="3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</row>
    <row r="15" spans="1:246" ht="20.149999999999999" customHeight="1">
      <c r="A15" s="34"/>
      <c r="B15" s="22"/>
      <c r="C15" s="249" t="s">
        <v>169</v>
      </c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1"/>
      <c r="AA15" s="34"/>
    </row>
    <row r="16" spans="1:246" ht="27.75" customHeight="1">
      <c r="A16" s="34"/>
      <c r="B16" s="22"/>
      <c r="C16" s="199"/>
      <c r="D16" s="252" t="s">
        <v>77</v>
      </c>
      <c r="E16" s="252"/>
      <c r="F16" s="252"/>
      <c r="G16" s="252"/>
      <c r="H16" s="252"/>
      <c r="I16" s="252"/>
      <c r="J16" s="252" t="s">
        <v>78</v>
      </c>
      <c r="K16" s="252"/>
      <c r="L16" s="252" t="s">
        <v>79</v>
      </c>
      <c r="M16" s="252"/>
      <c r="N16" s="252" t="s">
        <v>80</v>
      </c>
      <c r="O16" s="252"/>
      <c r="P16" s="252"/>
      <c r="Q16" s="252" t="s">
        <v>81</v>
      </c>
      <c r="R16" s="252"/>
      <c r="S16" s="252"/>
      <c r="T16" s="252" t="s">
        <v>82</v>
      </c>
      <c r="U16" s="252"/>
      <c r="V16" s="252"/>
      <c r="W16" s="252" t="s">
        <v>170</v>
      </c>
      <c r="X16" s="252"/>
      <c r="Y16" s="253"/>
      <c r="AA16" s="34"/>
    </row>
    <row r="17" spans="1:27" ht="20.149999999999999" customHeight="1">
      <c r="A17" s="34"/>
      <c r="B17" s="31"/>
      <c r="C17" s="199">
        <v>1</v>
      </c>
      <c r="D17" s="269"/>
      <c r="E17" s="270"/>
      <c r="F17" s="270"/>
      <c r="G17" s="270"/>
      <c r="H17" s="270"/>
      <c r="I17" s="270"/>
      <c r="J17" s="277"/>
      <c r="K17" s="277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3"/>
      <c r="X17" s="243"/>
      <c r="Y17" s="244"/>
      <c r="Z17" s="36" t="s">
        <v>64</v>
      </c>
      <c r="AA17" s="34"/>
    </row>
    <row r="18" spans="1:27" ht="20.149999999999999" customHeight="1">
      <c r="A18" s="34"/>
      <c r="B18" s="31"/>
      <c r="C18" s="199">
        <v>2</v>
      </c>
      <c r="D18" s="269"/>
      <c r="E18" s="270"/>
      <c r="F18" s="270"/>
      <c r="G18" s="270"/>
      <c r="H18" s="270"/>
      <c r="I18" s="270"/>
      <c r="J18" s="271"/>
      <c r="K18" s="271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3"/>
      <c r="X18" s="243"/>
      <c r="Y18" s="244"/>
      <c r="Z18" s="36" t="s">
        <v>83</v>
      </c>
      <c r="AA18" s="34"/>
    </row>
    <row r="19" spans="1:27" ht="20.149999999999999" customHeight="1">
      <c r="A19" s="34"/>
      <c r="B19" s="31"/>
      <c r="C19" s="199">
        <v>3</v>
      </c>
      <c r="D19" s="269"/>
      <c r="E19" s="270"/>
      <c r="F19" s="270"/>
      <c r="G19" s="270"/>
      <c r="H19" s="270"/>
      <c r="I19" s="270"/>
      <c r="J19" s="271"/>
      <c r="K19" s="271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3"/>
      <c r="X19" s="243"/>
      <c r="Y19" s="244"/>
      <c r="AA19" s="34"/>
    </row>
    <row r="20" spans="1:27" ht="20.149999999999999" customHeight="1">
      <c r="A20" s="34"/>
      <c r="B20" s="31"/>
      <c r="C20" s="199">
        <v>4</v>
      </c>
      <c r="D20" s="269"/>
      <c r="E20" s="270"/>
      <c r="F20" s="270"/>
      <c r="G20" s="270"/>
      <c r="H20" s="270"/>
      <c r="I20" s="270"/>
      <c r="J20" s="271"/>
      <c r="K20" s="271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3"/>
      <c r="X20" s="243"/>
      <c r="Y20" s="244"/>
      <c r="AA20" s="34"/>
    </row>
    <row r="21" spans="1:27" ht="20.149999999999999" customHeight="1">
      <c r="A21" s="34"/>
      <c r="B21" s="31"/>
      <c r="C21" s="199">
        <v>5</v>
      </c>
      <c r="D21" s="269"/>
      <c r="E21" s="270"/>
      <c r="F21" s="270"/>
      <c r="G21" s="270"/>
      <c r="H21" s="270"/>
      <c r="I21" s="270"/>
      <c r="J21" s="271"/>
      <c r="K21" s="271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3"/>
      <c r="X21" s="243"/>
      <c r="Y21" s="244"/>
      <c r="AA21" s="34"/>
    </row>
    <row r="22" spans="1:27" ht="20.149999999999999" customHeight="1">
      <c r="A22" s="34"/>
      <c r="B22" s="31"/>
      <c r="C22" s="199">
        <v>6</v>
      </c>
      <c r="D22" s="269"/>
      <c r="E22" s="270"/>
      <c r="F22" s="270"/>
      <c r="G22" s="270"/>
      <c r="H22" s="270"/>
      <c r="I22" s="270"/>
      <c r="J22" s="271"/>
      <c r="K22" s="271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3"/>
      <c r="X22" s="243"/>
      <c r="Y22" s="244"/>
      <c r="AA22" s="34"/>
    </row>
    <row r="23" spans="1:27" ht="20.149999999999999" customHeight="1">
      <c r="A23" s="34"/>
      <c r="B23" s="31"/>
      <c r="C23" s="199">
        <v>7</v>
      </c>
      <c r="D23" s="269"/>
      <c r="E23" s="270"/>
      <c r="F23" s="270"/>
      <c r="G23" s="270"/>
      <c r="H23" s="270"/>
      <c r="I23" s="270"/>
      <c r="J23" s="271"/>
      <c r="K23" s="271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3"/>
      <c r="X23" s="243"/>
      <c r="Y23" s="244"/>
      <c r="AA23" s="34"/>
    </row>
    <row r="24" spans="1:27" ht="20.149999999999999" customHeight="1">
      <c r="A24" s="34"/>
      <c r="B24" s="31"/>
      <c r="C24" s="199">
        <v>8</v>
      </c>
      <c r="D24" s="269"/>
      <c r="E24" s="270"/>
      <c r="F24" s="270"/>
      <c r="G24" s="270"/>
      <c r="H24" s="270"/>
      <c r="I24" s="270"/>
      <c r="J24" s="271"/>
      <c r="K24" s="27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243"/>
      <c r="Y24" s="244"/>
      <c r="AA24" s="34"/>
    </row>
    <row r="25" spans="1:27" ht="20.149999999999999" customHeight="1">
      <c r="A25" s="34"/>
      <c r="B25" s="31"/>
      <c r="C25" s="199">
        <v>9</v>
      </c>
      <c r="D25" s="269"/>
      <c r="E25" s="270"/>
      <c r="F25" s="270"/>
      <c r="G25" s="270"/>
      <c r="H25" s="270"/>
      <c r="I25" s="270"/>
      <c r="J25" s="271"/>
      <c r="K25" s="271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3"/>
      <c r="X25" s="243"/>
      <c r="Y25" s="244"/>
      <c r="AA25" s="34"/>
    </row>
    <row r="26" spans="1:27" ht="20.149999999999999" customHeight="1">
      <c r="A26" s="34"/>
      <c r="B26" s="31"/>
      <c r="C26" s="199">
        <v>10</v>
      </c>
      <c r="D26" s="269"/>
      <c r="E26" s="270"/>
      <c r="F26" s="270"/>
      <c r="G26" s="270"/>
      <c r="H26" s="270"/>
      <c r="I26" s="270"/>
      <c r="J26" s="271"/>
      <c r="K26" s="271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3"/>
      <c r="X26" s="243"/>
      <c r="Y26" s="244"/>
      <c r="AA26" s="34"/>
    </row>
    <row r="27" spans="1:27" ht="20.149999999999999" customHeight="1">
      <c r="A27" s="34"/>
      <c r="B27" s="31"/>
      <c r="C27" s="199">
        <v>11</v>
      </c>
      <c r="D27" s="269"/>
      <c r="E27" s="270"/>
      <c r="F27" s="270"/>
      <c r="G27" s="270"/>
      <c r="H27" s="270"/>
      <c r="I27" s="270"/>
      <c r="J27" s="271"/>
      <c r="K27" s="271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3"/>
      <c r="X27" s="243"/>
      <c r="Y27" s="244"/>
      <c r="AA27" s="34"/>
    </row>
    <row r="28" spans="1:27" ht="20.149999999999999" customHeight="1">
      <c r="A28" s="34"/>
      <c r="B28" s="31"/>
      <c r="C28" s="199">
        <v>12</v>
      </c>
      <c r="D28" s="269"/>
      <c r="E28" s="270"/>
      <c r="F28" s="270"/>
      <c r="G28" s="270"/>
      <c r="H28" s="270"/>
      <c r="I28" s="270"/>
      <c r="J28" s="271"/>
      <c r="K28" s="271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3"/>
      <c r="X28" s="243"/>
      <c r="Y28" s="244"/>
      <c r="AA28" s="34"/>
    </row>
    <row r="29" spans="1:27" ht="20.149999999999999" customHeight="1">
      <c r="A29" s="34"/>
      <c r="B29" s="31"/>
      <c r="C29" s="199">
        <v>13</v>
      </c>
      <c r="D29" s="269"/>
      <c r="E29" s="270"/>
      <c r="F29" s="270"/>
      <c r="G29" s="270"/>
      <c r="H29" s="270"/>
      <c r="I29" s="270"/>
      <c r="J29" s="271"/>
      <c r="K29" s="271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3"/>
      <c r="X29" s="243"/>
      <c r="Y29" s="244"/>
      <c r="AA29" s="34"/>
    </row>
    <row r="30" spans="1:27" ht="20.149999999999999" customHeight="1">
      <c r="A30" s="34"/>
      <c r="B30" s="31"/>
      <c r="C30" s="199">
        <v>14</v>
      </c>
      <c r="D30" s="269"/>
      <c r="E30" s="270"/>
      <c r="F30" s="270"/>
      <c r="G30" s="270"/>
      <c r="H30" s="270"/>
      <c r="I30" s="270"/>
      <c r="J30" s="271"/>
      <c r="K30" s="271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3"/>
      <c r="X30" s="243"/>
      <c r="Y30" s="244"/>
      <c r="AA30" s="34"/>
    </row>
    <row r="31" spans="1:27" ht="20.149999999999999" customHeight="1">
      <c r="A31" s="34"/>
      <c r="B31" s="31"/>
      <c r="C31" s="199">
        <v>15</v>
      </c>
      <c r="D31" s="269"/>
      <c r="E31" s="270"/>
      <c r="F31" s="270"/>
      <c r="G31" s="270"/>
      <c r="H31" s="270"/>
      <c r="I31" s="270"/>
      <c r="J31" s="271"/>
      <c r="K31" s="271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3"/>
      <c r="X31" s="243"/>
      <c r="Y31" s="244"/>
      <c r="AA31" s="34"/>
    </row>
    <row r="32" spans="1:27" ht="20.149999999999999" customHeight="1">
      <c r="A32" s="34"/>
      <c r="B32" s="31"/>
      <c r="C32" s="199">
        <v>16</v>
      </c>
      <c r="D32" s="269"/>
      <c r="E32" s="270"/>
      <c r="F32" s="270"/>
      <c r="G32" s="270"/>
      <c r="H32" s="270"/>
      <c r="I32" s="270"/>
      <c r="J32" s="271"/>
      <c r="K32" s="271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3"/>
      <c r="X32" s="243"/>
      <c r="Y32" s="244"/>
      <c r="AA32" s="34"/>
    </row>
    <row r="33" spans="1:27" ht="20.149999999999999" customHeight="1">
      <c r="A33" s="34"/>
      <c r="B33" s="31"/>
      <c r="C33" s="199">
        <v>17</v>
      </c>
      <c r="D33" s="269"/>
      <c r="E33" s="270"/>
      <c r="F33" s="270"/>
      <c r="G33" s="270"/>
      <c r="H33" s="270"/>
      <c r="I33" s="270"/>
      <c r="J33" s="271"/>
      <c r="K33" s="271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3"/>
      <c r="X33" s="243"/>
      <c r="Y33" s="244"/>
      <c r="AA33" s="34"/>
    </row>
    <row r="34" spans="1:27" ht="20.149999999999999" customHeight="1">
      <c r="A34" s="34"/>
      <c r="B34" s="31"/>
      <c r="C34" s="199">
        <v>18</v>
      </c>
      <c r="D34" s="269"/>
      <c r="E34" s="270"/>
      <c r="F34" s="270"/>
      <c r="G34" s="270"/>
      <c r="H34" s="270"/>
      <c r="I34" s="270"/>
      <c r="J34" s="271"/>
      <c r="K34" s="271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3"/>
      <c r="X34" s="243"/>
      <c r="Y34" s="244"/>
      <c r="AA34" s="34"/>
    </row>
    <row r="35" spans="1:27" ht="20.149999999999999" customHeight="1">
      <c r="A35" s="34"/>
      <c r="B35" s="31"/>
      <c r="C35" s="199">
        <v>19</v>
      </c>
      <c r="D35" s="269"/>
      <c r="E35" s="270"/>
      <c r="F35" s="270"/>
      <c r="G35" s="270"/>
      <c r="H35" s="270"/>
      <c r="I35" s="270"/>
      <c r="J35" s="271"/>
      <c r="K35" s="271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3"/>
      <c r="X35" s="243"/>
      <c r="Y35" s="244"/>
      <c r="AA35" s="34"/>
    </row>
    <row r="36" spans="1:27" ht="20.149999999999999" customHeight="1">
      <c r="A36" s="34"/>
      <c r="B36" s="31"/>
      <c r="C36" s="199">
        <v>20</v>
      </c>
      <c r="D36" s="269"/>
      <c r="E36" s="270"/>
      <c r="F36" s="270"/>
      <c r="G36" s="270"/>
      <c r="H36" s="270"/>
      <c r="I36" s="270"/>
      <c r="J36" s="271"/>
      <c r="K36" s="271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3"/>
      <c r="X36" s="243"/>
      <c r="Y36" s="244"/>
      <c r="AA36" s="34"/>
    </row>
    <row r="37" spans="1:27" ht="20.149999999999999" customHeight="1">
      <c r="A37" s="34"/>
      <c r="B37" s="31"/>
      <c r="C37" s="199">
        <v>21</v>
      </c>
      <c r="D37" s="269"/>
      <c r="E37" s="270"/>
      <c r="F37" s="270"/>
      <c r="G37" s="270"/>
      <c r="H37" s="270"/>
      <c r="I37" s="270"/>
      <c r="J37" s="271"/>
      <c r="K37" s="271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3"/>
      <c r="X37" s="243"/>
      <c r="Y37" s="244"/>
      <c r="AA37" s="34"/>
    </row>
    <row r="38" spans="1:27" ht="20.149999999999999" customHeight="1">
      <c r="A38" s="34"/>
      <c r="B38" s="31"/>
      <c r="C38" s="199">
        <v>22</v>
      </c>
      <c r="D38" s="269"/>
      <c r="E38" s="270"/>
      <c r="F38" s="270"/>
      <c r="G38" s="270"/>
      <c r="H38" s="270"/>
      <c r="I38" s="270"/>
      <c r="J38" s="271"/>
      <c r="K38" s="271"/>
      <c r="L38" s="242" t="s">
        <v>67</v>
      </c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3"/>
      <c r="X38" s="243"/>
      <c r="Y38" s="244"/>
      <c r="AA38" s="34"/>
    </row>
    <row r="39" spans="1:27" ht="20.149999999999999" customHeight="1">
      <c r="A39" s="34"/>
      <c r="B39" s="31"/>
      <c r="C39" s="199">
        <v>23</v>
      </c>
      <c r="D39" s="269"/>
      <c r="E39" s="270"/>
      <c r="F39" s="270"/>
      <c r="G39" s="270"/>
      <c r="H39" s="270"/>
      <c r="I39" s="270"/>
      <c r="J39" s="271"/>
      <c r="K39" s="271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3"/>
      <c r="X39" s="243"/>
      <c r="Y39" s="244"/>
      <c r="AA39" s="34"/>
    </row>
    <row r="40" spans="1:27" ht="20.149999999999999" customHeight="1">
      <c r="A40" s="34"/>
      <c r="B40" s="31"/>
      <c r="C40" s="199">
        <v>24</v>
      </c>
      <c r="D40" s="269"/>
      <c r="E40" s="270"/>
      <c r="F40" s="270"/>
      <c r="G40" s="270"/>
      <c r="H40" s="270"/>
      <c r="I40" s="270"/>
      <c r="J40" s="271"/>
      <c r="K40" s="271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3"/>
      <c r="X40" s="243"/>
      <c r="Y40" s="244"/>
      <c r="AA40" s="34"/>
    </row>
    <row r="41" spans="1:27" ht="20.149999999999999" customHeight="1" thickBot="1">
      <c r="A41" s="34"/>
      <c r="B41" s="31"/>
      <c r="C41" s="200">
        <v>25</v>
      </c>
      <c r="D41" s="266"/>
      <c r="E41" s="267"/>
      <c r="F41" s="267"/>
      <c r="G41" s="267"/>
      <c r="H41" s="267"/>
      <c r="I41" s="267"/>
      <c r="J41" s="268"/>
      <c r="K41" s="268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1"/>
      <c r="X41" s="231"/>
      <c r="Y41" s="232"/>
      <c r="AA41" s="34"/>
    </row>
    <row r="42" spans="1:27" s="30" customFormat="1" ht="14.25" customHeight="1">
      <c r="A42" s="34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AA42" s="34"/>
    </row>
    <row r="43" spans="1:27" ht="4.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t="18" hidden="1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W44" s="13"/>
      <c r="X44" s="13"/>
      <c r="Y44" s="13"/>
    </row>
    <row r="45" spans="1:27" ht="18" hidden="1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W45" s="13"/>
      <c r="X45" s="13"/>
      <c r="Y45" s="13"/>
    </row>
    <row r="46" spans="1:27" ht="18" hidden="1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W46" s="13"/>
      <c r="X46" s="13"/>
      <c r="Y46" s="13"/>
    </row>
    <row r="47" spans="1:27" ht="18" hidden="1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W47" s="13"/>
      <c r="X47" s="13"/>
      <c r="Y47" s="13"/>
    </row>
    <row r="48" spans="1:27" ht="18" hidden="1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W48" s="13"/>
      <c r="X48" s="13"/>
      <c r="Y48" s="13"/>
    </row>
    <row r="49" spans="1:25" ht="18" hidden="1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W49" s="13"/>
      <c r="X49" s="13"/>
      <c r="Y49" s="13"/>
    </row>
    <row r="50" spans="1:25" ht="18" hidden="1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W50" s="13"/>
      <c r="X50" s="13"/>
      <c r="Y50" s="13"/>
    </row>
    <row r="51" spans="1:25" ht="18" hidden="1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W51" s="13"/>
      <c r="X51" s="13"/>
      <c r="Y51" s="13"/>
    </row>
    <row r="52" spans="1:25" s="13" customFormat="1" ht="18" hidden="1">
      <c r="A52" s="18"/>
    </row>
    <row r="53" spans="1:25" s="13" customFormat="1" ht="18" hidden="1">
      <c r="A53" s="18"/>
    </row>
    <row r="54" spans="1:25" s="13" customFormat="1" ht="18" hidden="1">
      <c r="A54" s="18"/>
    </row>
    <row r="55" spans="1:25" s="13" customFormat="1" ht="18" hidden="1">
      <c r="A55" s="18"/>
    </row>
    <row r="56" spans="1:25" s="13" customFormat="1" ht="18" hidden="1">
      <c r="A56" s="18"/>
    </row>
    <row r="57" spans="1:25" s="13" customFormat="1" ht="18" hidden="1">
      <c r="A57" s="18"/>
    </row>
    <row r="58" spans="1:25" s="13" customFormat="1" ht="18" hidden="1">
      <c r="A58" s="18"/>
    </row>
    <row r="59" spans="1:25" s="13" customFormat="1" ht="18" hidden="1">
      <c r="A59" s="18"/>
    </row>
    <row r="60" spans="1:25" s="13" customFormat="1" ht="18" hidden="1">
      <c r="A60" s="18"/>
    </row>
    <row r="61" spans="1:25" s="13" customFormat="1" ht="18" hidden="1">
      <c r="A61" s="18"/>
    </row>
    <row r="62" spans="1:25" s="13" customFormat="1" ht="18" hidden="1">
      <c r="A62" s="18"/>
    </row>
    <row r="63" spans="1:25" s="13" customFormat="1" ht="18" hidden="1">
      <c r="A63" s="18"/>
    </row>
    <row r="64" spans="1:25" s="13" customFormat="1" ht="18" hidden="1">
      <c r="A64" s="18"/>
    </row>
    <row r="65" spans="1:1" s="13" customFormat="1" ht="18" hidden="1">
      <c r="A65" s="18"/>
    </row>
    <row r="66" spans="1:1" s="13" customFormat="1" ht="18" hidden="1">
      <c r="A66" s="18"/>
    </row>
  </sheetData>
  <sheetProtection password="8447" sheet="1" formatCells="0" selectLockedCells="1"/>
  <mergeCells count="198">
    <mergeCell ref="G5:P5"/>
    <mergeCell ref="G6:P6"/>
    <mergeCell ref="W4:Y5"/>
    <mergeCell ref="C15:Y15"/>
    <mergeCell ref="D11:H11"/>
    <mergeCell ref="D12:H12"/>
    <mergeCell ref="L12:X12"/>
    <mergeCell ref="Q6:S6"/>
    <mergeCell ref="J17:K17"/>
    <mergeCell ref="L17:M17"/>
    <mergeCell ref="N17:P17"/>
    <mergeCell ref="Q17:S17"/>
    <mergeCell ref="T17:V17"/>
    <mergeCell ref="W6:Y6"/>
    <mergeCell ref="W7:Y8"/>
    <mergeCell ref="C7:E7"/>
    <mergeCell ref="C8:E8"/>
    <mergeCell ref="T19:V19"/>
    <mergeCell ref="W19:Y19"/>
    <mergeCell ref="D18:I18"/>
    <mergeCell ref="J18:K18"/>
    <mergeCell ref="W17:Y17"/>
    <mergeCell ref="D16:I16"/>
    <mergeCell ref="J16:K16"/>
    <mergeCell ref="L16:M16"/>
    <mergeCell ref="N16:P16"/>
    <mergeCell ref="Q16:S16"/>
    <mergeCell ref="T16:V16"/>
    <mergeCell ref="W16:Y16"/>
    <mergeCell ref="D17:I17"/>
    <mergeCell ref="T21:V21"/>
    <mergeCell ref="W21:Y21"/>
    <mergeCell ref="D20:I20"/>
    <mergeCell ref="J20:K20"/>
    <mergeCell ref="L20:M20"/>
    <mergeCell ref="N20:P20"/>
    <mergeCell ref="Q20:S20"/>
    <mergeCell ref="T20:V20"/>
    <mergeCell ref="L18:M18"/>
    <mergeCell ref="N18:P18"/>
    <mergeCell ref="Q18:S18"/>
    <mergeCell ref="T18:V18"/>
    <mergeCell ref="W20:Y20"/>
    <mergeCell ref="D21:I21"/>
    <mergeCell ref="J21:K21"/>
    <mergeCell ref="L21:M21"/>
    <mergeCell ref="N21:P21"/>
    <mergeCell ref="Q21:S21"/>
    <mergeCell ref="W18:Y18"/>
    <mergeCell ref="D19:I19"/>
    <mergeCell ref="J19:K19"/>
    <mergeCell ref="L19:M19"/>
    <mergeCell ref="N19:P19"/>
    <mergeCell ref="Q19:S19"/>
    <mergeCell ref="L22:M22"/>
    <mergeCell ref="N22:P22"/>
    <mergeCell ref="Q22:S22"/>
    <mergeCell ref="T22:V22"/>
    <mergeCell ref="W24:Y24"/>
    <mergeCell ref="D25:I25"/>
    <mergeCell ref="J25:K25"/>
    <mergeCell ref="L25:M25"/>
    <mergeCell ref="N25:P25"/>
    <mergeCell ref="Q25:S25"/>
    <mergeCell ref="W22:Y22"/>
    <mergeCell ref="D23:I23"/>
    <mergeCell ref="J23:K23"/>
    <mergeCell ref="L23:M23"/>
    <mergeCell ref="N23:P23"/>
    <mergeCell ref="Q23:S23"/>
    <mergeCell ref="T23:V23"/>
    <mergeCell ref="W23:Y23"/>
    <mergeCell ref="D22:I22"/>
    <mergeCell ref="J22:K22"/>
    <mergeCell ref="T27:V27"/>
    <mergeCell ref="W27:Y27"/>
    <mergeCell ref="D26:I26"/>
    <mergeCell ref="J26:K26"/>
    <mergeCell ref="T25:V25"/>
    <mergeCell ref="W25:Y25"/>
    <mergeCell ref="D24:I24"/>
    <mergeCell ref="J24:K24"/>
    <mergeCell ref="L24:M24"/>
    <mergeCell ref="N24:P24"/>
    <mergeCell ref="Q24:S24"/>
    <mergeCell ref="T24:V24"/>
    <mergeCell ref="T29:V29"/>
    <mergeCell ref="W29:Y29"/>
    <mergeCell ref="D28:I28"/>
    <mergeCell ref="J28:K28"/>
    <mergeCell ref="L28:M28"/>
    <mergeCell ref="N28:P28"/>
    <mergeCell ref="Q28:S28"/>
    <mergeCell ref="T28:V28"/>
    <mergeCell ref="L26:M26"/>
    <mergeCell ref="N26:P26"/>
    <mergeCell ref="Q26:S26"/>
    <mergeCell ref="T26:V26"/>
    <mergeCell ref="W28:Y28"/>
    <mergeCell ref="D29:I29"/>
    <mergeCell ref="J29:K29"/>
    <mergeCell ref="L29:M29"/>
    <mergeCell ref="N29:P29"/>
    <mergeCell ref="Q29:S29"/>
    <mergeCell ref="W26:Y26"/>
    <mergeCell ref="D27:I27"/>
    <mergeCell ref="J27:K27"/>
    <mergeCell ref="L27:M27"/>
    <mergeCell ref="N27:P27"/>
    <mergeCell ref="Q27:S27"/>
    <mergeCell ref="L30:M30"/>
    <mergeCell ref="N30:P30"/>
    <mergeCell ref="Q30:S30"/>
    <mergeCell ref="T30:V30"/>
    <mergeCell ref="W32:Y32"/>
    <mergeCell ref="D33:I33"/>
    <mergeCell ref="J33:K33"/>
    <mergeCell ref="L33:M33"/>
    <mergeCell ref="N33:P33"/>
    <mergeCell ref="Q33:S33"/>
    <mergeCell ref="W30:Y30"/>
    <mergeCell ref="D31:I31"/>
    <mergeCell ref="J31:K31"/>
    <mergeCell ref="L31:M31"/>
    <mergeCell ref="N31:P31"/>
    <mergeCell ref="Q31:S31"/>
    <mergeCell ref="T31:V31"/>
    <mergeCell ref="W31:Y31"/>
    <mergeCell ref="D30:I30"/>
    <mergeCell ref="J30:K30"/>
    <mergeCell ref="T35:V35"/>
    <mergeCell ref="W35:Y35"/>
    <mergeCell ref="D34:I34"/>
    <mergeCell ref="J34:K34"/>
    <mergeCell ref="T33:V33"/>
    <mergeCell ref="W33:Y33"/>
    <mergeCell ref="D32:I32"/>
    <mergeCell ref="J32:K32"/>
    <mergeCell ref="L32:M32"/>
    <mergeCell ref="N32:P32"/>
    <mergeCell ref="Q32:S32"/>
    <mergeCell ref="T32:V32"/>
    <mergeCell ref="T37:V37"/>
    <mergeCell ref="W37:Y37"/>
    <mergeCell ref="D36:I36"/>
    <mergeCell ref="J36:K36"/>
    <mergeCell ref="L36:M36"/>
    <mergeCell ref="N36:P36"/>
    <mergeCell ref="Q36:S36"/>
    <mergeCell ref="T36:V36"/>
    <mergeCell ref="L34:M34"/>
    <mergeCell ref="N34:P34"/>
    <mergeCell ref="Q34:S34"/>
    <mergeCell ref="T34:V34"/>
    <mergeCell ref="W36:Y36"/>
    <mergeCell ref="D37:I37"/>
    <mergeCell ref="J37:K37"/>
    <mergeCell ref="L37:M37"/>
    <mergeCell ref="N37:P37"/>
    <mergeCell ref="Q37:S37"/>
    <mergeCell ref="W34:Y34"/>
    <mergeCell ref="D35:I35"/>
    <mergeCell ref="J35:K35"/>
    <mergeCell ref="L35:M35"/>
    <mergeCell ref="N35:P35"/>
    <mergeCell ref="Q35:S35"/>
    <mergeCell ref="W38:Y38"/>
    <mergeCell ref="D39:I39"/>
    <mergeCell ref="J39:K39"/>
    <mergeCell ref="L39:M39"/>
    <mergeCell ref="N39:P39"/>
    <mergeCell ref="Q39:S39"/>
    <mergeCell ref="T39:V39"/>
    <mergeCell ref="W39:Y39"/>
    <mergeCell ref="D38:I38"/>
    <mergeCell ref="J38:K38"/>
    <mergeCell ref="L38:M38"/>
    <mergeCell ref="N38:P38"/>
    <mergeCell ref="Q38:S38"/>
    <mergeCell ref="T38:V38"/>
    <mergeCell ref="Q40:S40"/>
    <mergeCell ref="T40:V40"/>
    <mergeCell ref="L42:M42"/>
    <mergeCell ref="N42:P42"/>
    <mergeCell ref="Q42:S42"/>
    <mergeCell ref="T42:V42"/>
    <mergeCell ref="L40:M40"/>
    <mergeCell ref="N40:P40"/>
    <mergeCell ref="W40:Y40"/>
    <mergeCell ref="D41:I41"/>
    <mergeCell ref="J41:K41"/>
    <mergeCell ref="L41:M41"/>
    <mergeCell ref="N41:P41"/>
    <mergeCell ref="Q41:S41"/>
    <mergeCell ref="T41:V41"/>
    <mergeCell ref="W41:Y41"/>
    <mergeCell ref="D40:I40"/>
    <mergeCell ref="J40:K40"/>
  </mergeCells>
  <conditionalFormatting sqref="W7:Y8 D12:H12 L12:X12">
    <cfRule type="cellIs" dxfId="3" priority="1" stopIfTrue="1" operator="equal">
      <formula>0</formula>
    </cfRule>
  </conditionalFormatting>
  <dataValidations count="1">
    <dataValidation type="list" allowBlank="1" showInputMessage="1" showErrorMessage="1" errorTitle="Error" error="Debe elejir una de las opciones de la lista" sqref="W17:Y41" xr:uid="{EA0D745F-FE34-434A-A04F-3C2D75614906}">
      <formula1>$Z$17:$Z$18</formula1>
    </dataValidation>
  </dataValidations>
  <pageMargins left="0.35" right="0.75" top="0.54" bottom="1" header="0.5" footer="0.5"/>
  <pageSetup scale="6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788A-1EE7-47A8-99E4-2E0FE7F5A74B}">
  <sheetPr codeName="Sheet3">
    <tabColor theme="9" tint="0.79998168889431442"/>
    <pageSetUpPr fitToPage="1"/>
  </sheetPr>
  <dimension ref="A1:P99"/>
  <sheetViews>
    <sheetView workbookViewId="0">
      <selection activeCell="J32" sqref="J32:K32"/>
    </sheetView>
  </sheetViews>
  <sheetFormatPr baseColWidth="10" defaultColWidth="0" defaultRowHeight="14.5" zeroHeight="1"/>
  <cols>
    <col min="1" max="1" width="1.7265625" style="1" customWidth="1"/>
    <col min="2" max="2" width="1.54296875" style="1" customWidth="1"/>
    <col min="3" max="3" width="10" style="2" customWidth="1"/>
    <col min="4" max="4" width="5.54296875" style="1" customWidth="1"/>
    <col min="5" max="5" width="4.81640625" style="4" customWidth="1"/>
    <col min="6" max="6" width="14.1796875" style="4" customWidth="1"/>
    <col min="7" max="7" width="4.54296875" style="4" customWidth="1"/>
    <col min="8" max="8" width="74.7265625" style="4" customWidth="1"/>
    <col min="9" max="9" width="5.26953125" style="1" customWidth="1"/>
    <col min="10" max="10" width="11" style="1" customWidth="1"/>
    <col min="11" max="11" width="5.26953125" style="3" customWidth="1"/>
    <col min="12" max="12" width="18.1796875" style="5" customWidth="1"/>
    <col min="13" max="13" width="1.54296875" style="1" customWidth="1"/>
    <col min="14" max="14" width="1.7265625" style="1" customWidth="1"/>
    <col min="15" max="16" width="0" style="1" hidden="1" customWidth="1"/>
    <col min="17" max="16384" width="9.1796875" style="1" hidden="1"/>
  </cols>
  <sheetData>
    <row r="1" spans="1:14" ht="10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>
      <c r="A2" s="98"/>
      <c r="N2" s="98"/>
    </row>
    <row r="3" spans="1:14" ht="18.75" customHeight="1">
      <c r="A3" s="98"/>
      <c r="C3" s="1"/>
      <c r="K3" s="230" t="s">
        <v>138</v>
      </c>
      <c r="L3" s="230"/>
      <c r="N3" s="98"/>
    </row>
    <row r="4" spans="1:14" ht="15" customHeight="1">
      <c r="A4" s="98"/>
      <c r="C4" s="1"/>
      <c r="E4" s="330" t="s">
        <v>59</v>
      </c>
      <c r="F4" s="330"/>
      <c r="G4" s="330"/>
      <c r="H4" s="330"/>
      <c r="I4" s="330"/>
      <c r="K4" s="230"/>
      <c r="L4" s="230"/>
      <c r="N4" s="98"/>
    </row>
    <row r="5" spans="1:14" ht="18">
      <c r="A5" s="98"/>
      <c r="E5" s="198" t="s">
        <v>62</v>
      </c>
      <c r="F5" s="198"/>
      <c r="G5" s="198"/>
      <c r="H5" s="198"/>
      <c r="I5" s="198"/>
      <c r="J5" s="7"/>
      <c r="K5" s="305" t="s">
        <v>56</v>
      </c>
      <c r="L5" s="305"/>
      <c r="N5" s="98"/>
    </row>
    <row r="6" spans="1:14" ht="15.5">
      <c r="A6" s="98"/>
      <c r="E6" s="1"/>
      <c r="F6" s="1"/>
      <c r="G6" s="1"/>
      <c r="H6" s="1"/>
      <c r="J6" s="6"/>
      <c r="K6" s="311">
        <f>AÑO_FISCAL</f>
        <v>0</v>
      </c>
      <c r="L6" s="312"/>
      <c r="N6" s="98"/>
    </row>
    <row r="7" spans="1:14" ht="17.25" customHeight="1">
      <c r="A7" s="98"/>
      <c r="C7" s="334" t="s">
        <v>211</v>
      </c>
      <c r="D7" s="334"/>
      <c r="E7" s="6"/>
      <c r="F7" s="6"/>
      <c r="G7" s="6"/>
      <c r="H7" s="6"/>
      <c r="I7" s="6"/>
      <c r="J7" s="6"/>
      <c r="K7" s="228"/>
      <c r="L7" s="228"/>
      <c r="N7" s="98"/>
    </row>
    <row r="8" spans="1:14" ht="8.25" customHeight="1" thickBot="1">
      <c r="A8" s="98"/>
      <c r="E8" s="6"/>
      <c r="F8" s="6"/>
      <c r="G8" s="6"/>
      <c r="H8" s="6"/>
      <c r="I8" s="6"/>
      <c r="J8" s="6"/>
      <c r="K8" s="6"/>
      <c r="L8" s="6"/>
      <c r="N8" s="98"/>
    </row>
    <row r="9" spans="1:14" ht="15" customHeight="1">
      <c r="A9" s="98"/>
      <c r="C9" s="97"/>
      <c r="D9" s="297" t="s">
        <v>53</v>
      </c>
      <c r="E9" s="298"/>
      <c r="F9" s="298"/>
      <c r="G9" s="298"/>
      <c r="H9" s="298"/>
      <c r="I9" s="298"/>
      <c r="J9" s="298"/>
      <c r="K9" s="298"/>
      <c r="L9" s="299"/>
      <c r="N9" s="98"/>
    </row>
    <row r="10" spans="1:14" ht="15" customHeight="1">
      <c r="A10" s="98"/>
      <c r="C10" s="92"/>
      <c r="D10" s="310" t="s">
        <v>168</v>
      </c>
      <c r="E10" s="310"/>
      <c r="F10" s="310"/>
      <c r="G10" s="1"/>
      <c r="H10" s="64" t="s">
        <v>118</v>
      </c>
      <c r="I10" s="63"/>
      <c r="J10" s="63"/>
      <c r="K10" s="63"/>
      <c r="L10" s="94"/>
      <c r="N10" s="98"/>
    </row>
    <row r="11" spans="1:14" ht="21.75" customHeight="1">
      <c r="A11" s="98"/>
      <c r="C11" s="92"/>
      <c r="D11" s="281">
        <f>RNC</f>
        <v>0</v>
      </c>
      <c r="E11" s="281"/>
      <c r="F11" s="281"/>
      <c r="G11" s="95"/>
      <c r="H11" s="307">
        <f>NOMBRE</f>
        <v>0</v>
      </c>
      <c r="I11" s="308"/>
      <c r="J11" s="309"/>
      <c r="K11" s="111"/>
      <c r="L11" s="112"/>
      <c r="N11" s="98"/>
    </row>
    <row r="12" spans="1:14" ht="6.75" customHeight="1" thickBot="1">
      <c r="A12" s="98"/>
      <c r="C12" s="93"/>
      <c r="D12" s="91"/>
      <c r="E12" s="65"/>
      <c r="F12" s="65"/>
      <c r="G12" s="65"/>
      <c r="H12" s="65"/>
      <c r="I12" s="65"/>
      <c r="J12" s="65"/>
      <c r="K12" s="65"/>
      <c r="L12" s="96"/>
      <c r="N12" s="98"/>
    </row>
    <row r="13" spans="1:14" ht="6.75" customHeight="1" thickBot="1">
      <c r="A13" s="98"/>
      <c r="E13" s="6"/>
      <c r="F13" s="6"/>
      <c r="G13" s="6"/>
      <c r="H13" s="6"/>
      <c r="I13" s="6"/>
      <c r="J13" s="6"/>
      <c r="K13" s="6"/>
      <c r="L13" s="6"/>
      <c r="N13" s="98"/>
    </row>
    <row r="14" spans="1:14">
      <c r="A14" s="98"/>
      <c r="C14" s="135" t="s">
        <v>57</v>
      </c>
      <c r="D14" s="120">
        <v>1</v>
      </c>
      <c r="E14" s="306" t="s">
        <v>144</v>
      </c>
      <c r="F14" s="306"/>
      <c r="G14" s="306"/>
      <c r="H14" s="306"/>
      <c r="I14" s="120" t="s">
        <v>2</v>
      </c>
      <c r="J14" s="304"/>
      <c r="K14" s="304"/>
      <c r="L14" s="315"/>
      <c r="N14" s="98"/>
    </row>
    <row r="15" spans="1:14">
      <c r="A15" s="98"/>
      <c r="C15" s="352" t="s">
        <v>1</v>
      </c>
      <c r="D15" s="121">
        <f t="shared" ref="D15:D25" si="0">+D14+1</f>
        <v>2</v>
      </c>
      <c r="E15" s="295" t="s">
        <v>143</v>
      </c>
      <c r="F15" s="295"/>
      <c r="G15" s="295"/>
      <c r="H15" s="295"/>
      <c r="I15" s="121" t="s">
        <v>2</v>
      </c>
      <c r="J15" s="285"/>
      <c r="K15" s="285"/>
      <c r="L15" s="317"/>
      <c r="N15" s="98"/>
    </row>
    <row r="16" spans="1:14">
      <c r="A16" s="98"/>
      <c r="C16" s="353"/>
      <c r="D16" s="121">
        <f t="shared" si="0"/>
        <v>3</v>
      </c>
      <c r="E16" s="295" t="s">
        <v>126</v>
      </c>
      <c r="F16" s="295"/>
      <c r="G16" s="295"/>
      <c r="H16" s="295"/>
      <c r="I16" s="121" t="s">
        <v>2</v>
      </c>
      <c r="J16" s="285"/>
      <c r="K16" s="285"/>
      <c r="L16" s="317"/>
      <c r="N16" s="98"/>
    </row>
    <row r="17" spans="1:14">
      <c r="A17" s="98"/>
      <c r="C17" s="353"/>
      <c r="D17" s="121">
        <f t="shared" si="0"/>
        <v>4</v>
      </c>
      <c r="E17" s="295" t="s">
        <v>132</v>
      </c>
      <c r="F17" s="295"/>
      <c r="G17" s="295"/>
      <c r="H17" s="295"/>
      <c r="I17" s="121" t="s">
        <v>2</v>
      </c>
      <c r="J17" s="285"/>
      <c r="K17" s="285"/>
      <c r="L17" s="317"/>
      <c r="N17" s="98"/>
    </row>
    <row r="18" spans="1:14">
      <c r="A18" s="98"/>
      <c r="C18" s="353"/>
      <c r="D18" s="121">
        <f t="shared" si="0"/>
        <v>5</v>
      </c>
      <c r="E18" s="295" t="s">
        <v>129</v>
      </c>
      <c r="F18" s="295"/>
      <c r="G18" s="295"/>
      <c r="H18" s="295"/>
      <c r="I18" s="121" t="s">
        <v>2</v>
      </c>
      <c r="J18" s="285"/>
      <c r="K18" s="285"/>
      <c r="L18" s="317"/>
      <c r="N18" s="98"/>
    </row>
    <row r="19" spans="1:14">
      <c r="A19" s="98"/>
      <c r="C19" s="353"/>
      <c r="D19" s="121">
        <f t="shared" si="0"/>
        <v>6</v>
      </c>
      <c r="E19" s="295" t="s">
        <v>96</v>
      </c>
      <c r="F19" s="295"/>
      <c r="G19" s="295"/>
      <c r="H19" s="295"/>
      <c r="I19" s="121" t="s">
        <v>2</v>
      </c>
      <c r="J19" s="285"/>
      <c r="K19" s="285"/>
      <c r="L19" s="317"/>
      <c r="N19" s="98"/>
    </row>
    <row r="20" spans="1:14">
      <c r="A20" s="98"/>
      <c r="C20" s="353"/>
      <c r="D20" s="121">
        <f t="shared" si="0"/>
        <v>7</v>
      </c>
      <c r="E20" s="295" t="s">
        <v>10</v>
      </c>
      <c r="F20" s="295"/>
      <c r="G20" s="295"/>
      <c r="H20" s="295"/>
      <c r="I20" s="121" t="s">
        <v>3</v>
      </c>
      <c r="J20" s="285"/>
      <c r="K20" s="285"/>
      <c r="L20" s="317"/>
      <c r="N20" s="98"/>
    </row>
    <row r="21" spans="1:14">
      <c r="A21" s="98"/>
      <c r="C21" s="353"/>
      <c r="D21" s="121">
        <f t="shared" si="0"/>
        <v>8</v>
      </c>
      <c r="E21" s="295" t="s">
        <v>11</v>
      </c>
      <c r="F21" s="295"/>
      <c r="G21" s="295"/>
      <c r="H21" s="295"/>
      <c r="I21" s="121" t="s">
        <v>3</v>
      </c>
      <c r="J21" s="285"/>
      <c r="K21" s="285"/>
      <c r="L21" s="331"/>
      <c r="N21" s="98"/>
    </row>
    <row r="22" spans="1:14">
      <c r="A22" s="98"/>
      <c r="C22" s="353"/>
      <c r="D22" s="121">
        <f t="shared" si="0"/>
        <v>9</v>
      </c>
      <c r="E22" s="295" t="s">
        <v>141</v>
      </c>
      <c r="F22" s="295"/>
      <c r="G22" s="295"/>
      <c r="H22" s="295"/>
      <c r="I22" s="121" t="s">
        <v>2</v>
      </c>
      <c r="J22" s="285"/>
      <c r="K22" s="285"/>
      <c r="L22" s="316"/>
      <c r="N22" s="98"/>
    </row>
    <row r="23" spans="1:14">
      <c r="A23" s="98"/>
      <c r="C23" s="353"/>
      <c r="D23" s="121">
        <f t="shared" si="0"/>
        <v>10</v>
      </c>
      <c r="E23" s="338" t="s">
        <v>215</v>
      </c>
      <c r="F23" s="339"/>
      <c r="G23" s="339"/>
      <c r="H23" s="340"/>
      <c r="I23" s="121" t="s">
        <v>2</v>
      </c>
      <c r="J23" s="285"/>
      <c r="K23" s="285"/>
      <c r="L23" s="317"/>
      <c r="N23" s="98"/>
    </row>
    <row r="24" spans="1:14">
      <c r="A24" s="98"/>
      <c r="C24" s="353"/>
      <c r="D24" s="121">
        <f t="shared" si="0"/>
        <v>11</v>
      </c>
      <c r="E24" s="338" t="s">
        <v>216</v>
      </c>
      <c r="F24" s="339"/>
      <c r="G24" s="339"/>
      <c r="H24" s="340"/>
      <c r="I24" s="121" t="s">
        <v>2</v>
      </c>
      <c r="J24" s="285"/>
      <c r="K24" s="285"/>
      <c r="L24" s="317"/>
      <c r="N24" s="98"/>
    </row>
    <row r="25" spans="1:14">
      <c r="A25" s="98"/>
      <c r="C25" s="353"/>
      <c r="D25" s="121">
        <f t="shared" si="0"/>
        <v>12</v>
      </c>
      <c r="E25" s="295" t="s">
        <v>115</v>
      </c>
      <c r="F25" s="295"/>
      <c r="G25" s="295"/>
      <c r="H25" s="295"/>
      <c r="I25" s="121" t="s">
        <v>2</v>
      </c>
      <c r="J25" s="285"/>
      <c r="K25" s="285"/>
      <c r="L25" s="317"/>
      <c r="N25" s="98"/>
    </row>
    <row r="26" spans="1:14">
      <c r="A26" s="98"/>
      <c r="C26" s="353"/>
      <c r="D26" s="121">
        <f t="shared" ref="D26:D70" si="1">+D25+1</f>
        <v>13</v>
      </c>
      <c r="E26" s="295" t="s">
        <v>63</v>
      </c>
      <c r="F26" s="295"/>
      <c r="G26" s="295"/>
      <c r="H26" s="295"/>
      <c r="I26" s="121" t="s">
        <v>2</v>
      </c>
      <c r="J26" s="285"/>
      <c r="K26" s="285"/>
      <c r="L26" s="317"/>
      <c r="N26" s="98"/>
    </row>
    <row r="27" spans="1:14" ht="15" thickBot="1">
      <c r="A27" s="98"/>
      <c r="C27" s="354"/>
      <c r="D27" s="131">
        <f>D26+1</f>
        <v>14</v>
      </c>
      <c r="E27" s="355" t="s">
        <v>214</v>
      </c>
      <c r="F27" s="355"/>
      <c r="G27" s="355"/>
      <c r="H27" s="355"/>
      <c r="I27" s="355"/>
      <c r="J27" s="355"/>
      <c r="K27" s="122" t="s">
        <v>4</v>
      </c>
      <c r="L27" s="123">
        <f>J14+J15+J16+J17+J18+J19-J20-J21+J22+J23+J24+J25+J26</f>
        <v>0</v>
      </c>
      <c r="N27" s="98"/>
    </row>
    <row r="28" spans="1:14" ht="7.5" customHeight="1" thickBot="1">
      <c r="A28" s="98"/>
      <c r="C28" s="300"/>
      <c r="D28" s="301"/>
      <c r="E28" s="301"/>
      <c r="F28" s="301"/>
      <c r="G28" s="301"/>
      <c r="H28" s="301"/>
      <c r="I28" s="301"/>
      <c r="J28" s="301"/>
      <c r="K28" s="301"/>
      <c r="L28" s="302"/>
      <c r="N28" s="98"/>
    </row>
    <row r="29" spans="1:14">
      <c r="A29" s="98"/>
      <c r="C29" s="135" t="s">
        <v>0</v>
      </c>
      <c r="D29" s="120">
        <f>+D27+1</f>
        <v>15</v>
      </c>
      <c r="E29" s="306" t="s">
        <v>7</v>
      </c>
      <c r="F29" s="306"/>
      <c r="G29" s="306"/>
      <c r="H29" s="306"/>
      <c r="I29" s="120" t="s">
        <v>2</v>
      </c>
      <c r="J29" s="304"/>
      <c r="K29" s="304"/>
      <c r="L29" s="315"/>
      <c r="N29" s="98"/>
    </row>
    <row r="30" spans="1:14">
      <c r="A30" s="98"/>
      <c r="C30" s="352" t="s">
        <v>6</v>
      </c>
      <c r="D30" s="121">
        <f t="shared" si="1"/>
        <v>16</v>
      </c>
      <c r="E30" s="295" t="s">
        <v>8</v>
      </c>
      <c r="F30" s="295"/>
      <c r="G30" s="295"/>
      <c r="H30" s="295"/>
      <c r="I30" s="121" t="s">
        <v>2</v>
      </c>
      <c r="J30" s="285"/>
      <c r="K30" s="285"/>
      <c r="L30" s="317"/>
      <c r="N30" s="98"/>
    </row>
    <row r="31" spans="1:14">
      <c r="A31" s="98"/>
      <c r="C31" s="353"/>
      <c r="D31" s="121">
        <f t="shared" si="1"/>
        <v>17</v>
      </c>
      <c r="E31" s="295" t="s">
        <v>116</v>
      </c>
      <c r="F31" s="295"/>
      <c r="G31" s="295"/>
      <c r="H31" s="295"/>
      <c r="I31" s="121" t="s">
        <v>2</v>
      </c>
      <c r="J31" s="285"/>
      <c r="K31" s="285"/>
      <c r="L31" s="317"/>
      <c r="N31" s="98"/>
    </row>
    <row r="32" spans="1:14">
      <c r="A32" s="98"/>
      <c r="C32" s="353"/>
      <c r="D32" s="121">
        <f t="shared" si="1"/>
        <v>18</v>
      </c>
      <c r="E32" s="295" t="s">
        <v>148</v>
      </c>
      <c r="F32" s="295"/>
      <c r="G32" s="295"/>
      <c r="H32" s="295"/>
      <c r="I32" s="121" t="s">
        <v>2</v>
      </c>
      <c r="J32" s="285"/>
      <c r="K32" s="285"/>
      <c r="L32" s="317"/>
      <c r="N32" s="98"/>
    </row>
    <row r="33" spans="1:14">
      <c r="A33" s="98"/>
      <c r="C33" s="353"/>
      <c r="D33" s="121">
        <f t="shared" si="1"/>
        <v>19</v>
      </c>
      <c r="E33" s="295" t="s">
        <v>9</v>
      </c>
      <c r="F33" s="295"/>
      <c r="G33" s="295"/>
      <c r="H33" s="295"/>
      <c r="I33" s="121" t="s">
        <v>3</v>
      </c>
      <c r="J33" s="285"/>
      <c r="K33" s="285"/>
      <c r="L33" s="317"/>
      <c r="N33" s="98"/>
    </row>
    <row r="34" spans="1:14" ht="15" thickBot="1">
      <c r="A34" s="98"/>
      <c r="C34" s="354"/>
      <c r="D34" s="131">
        <f t="shared" si="1"/>
        <v>20</v>
      </c>
      <c r="E34" s="280" t="s">
        <v>217</v>
      </c>
      <c r="F34" s="280"/>
      <c r="G34" s="280"/>
      <c r="H34" s="280"/>
      <c r="I34" s="280"/>
      <c r="J34" s="280"/>
      <c r="K34" s="122" t="s">
        <v>4</v>
      </c>
      <c r="L34" s="123">
        <f>+J29+J30+J31+J32-J33</f>
        <v>0</v>
      </c>
      <c r="N34" s="98"/>
    </row>
    <row r="35" spans="1:14" ht="6" customHeight="1" thickBot="1">
      <c r="A35" s="98"/>
      <c r="C35" s="289"/>
      <c r="D35" s="290"/>
      <c r="E35" s="290"/>
      <c r="F35" s="290"/>
      <c r="G35" s="290"/>
      <c r="H35" s="290"/>
      <c r="I35" s="290"/>
      <c r="J35" s="290"/>
      <c r="K35" s="290"/>
      <c r="L35" s="291"/>
      <c r="N35" s="98"/>
    </row>
    <row r="36" spans="1:14">
      <c r="A36" s="98"/>
      <c r="C36" s="135" t="s">
        <v>5</v>
      </c>
      <c r="D36" s="120">
        <f>+D34+1</f>
        <v>21</v>
      </c>
      <c r="E36" s="306" t="s">
        <v>14</v>
      </c>
      <c r="F36" s="306"/>
      <c r="G36" s="306"/>
      <c r="H36" s="306"/>
      <c r="I36" s="120" t="s">
        <v>2</v>
      </c>
      <c r="J36" s="304"/>
      <c r="K36" s="304"/>
      <c r="L36" s="315"/>
      <c r="N36" s="98"/>
    </row>
    <row r="37" spans="1:14">
      <c r="A37" s="98"/>
      <c r="C37" s="335" t="s">
        <v>13</v>
      </c>
      <c r="D37" s="121">
        <f t="shared" si="1"/>
        <v>22</v>
      </c>
      <c r="E37" s="295" t="s">
        <v>15</v>
      </c>
      <c r="F37" s="295"/>
      <c r="G37" s="295"/>
      <c r="H37" s="295"/>
      <c r="I37" s="121" t="s">
        <v>2</v>
      </c>
      <c r="J37" s="285"/>
      <c r="K37" s="285"/>
      <c r="L37" s="317"/>
      <c r="N37" s="98"/>
    </row>
    <row r="38" spans="1:14">
      <c r="A38" s="98"/>
      <c r="C38" s="336"/>
      <c r="D38" s="121">
        <f t="shared" si="1"/>
        <v>23</v>
      </c>
      <c r="E38" s="295" t="s">
        <v>16</v>
      </c>
      <c r="F38" s="295"/>
      <c r="G38" s="295"/>
      <c r="H38" s="295"/>
      <c r="I38" s="121" t="s">
        <v>2</v>
      </c>
      <c r="J38" s="285"/>
      <c r="K38" s="285"/>
      <c r="L38" s="317"/>
      <c r="N38" s="98"/>
    </row>
    <row r="39" spans="1:14">
      <c r="A39" s="98"/>
      <c r="C39" s="336"/>
      <c r="D39" s="121">
        <f t="shared" si="1"/>
        <v>24</v>
      </c>
      <c r="E39" s="295" t="s">
        <v>17</v>
      </c>
      <c r="F39" s="295"/>
      <c r="G39" s="295"/>
      <c r="H39" s="295"/>
      <c r="I39" s="121" t="s">
        <v>2</v>
      </c>
      <c r="J39" s="285"/>
      <c r="K39" s="285"/>
      <c r="L39" s="317"/>
      <c r="N39" s="98"/>
    </row>
    <row r="40" spans="1:14">
      <c r="A40" s="98"/>
      <c r="C40" s="336"/>
      <c r="D40" s="121">
        <f t="shared" si="1"/>
        <v>25</v>
      </c>
      <c r="E40" s="295" t="s">
        <v>18</v>
      </c>
      <c r="F40" s="295"/>
      <c r="G40" s="295"/>
      <c r="H40" s="295"/>
      <c r="I40" s="121" t="s">
        <v>2</v>
      </c>
      <c r="J40" s="285"/>
      <c r="K40" s="285"/>
      <c r="L40" s="317"/>
      <c r="N40" s="98"/>
    </row>
    <row r="41" spans="1:14">
      <c r="A41" s="98"/>
      <c r="C41" s="336"/>
      <c r="D41" s="121">
        <f t="shared" si="1"/>
        <v>26</v>
      </c>
      <c r="E41" s="295" t="s">
        <v>19</v>
      </c>
      <c r="F41" s="295"/>
      <c r="G41" s="295"/>
      <c r="H41" s="295"/>
      <c r="I41" s="121" t="s">
        <v>2</v>
      </c>
      <c r="J41" s="285"/>
      <c r="K41" s="285"/>
      <c r="L41" s="317"/>
      <c r="N41" s="98"/>
    </row>
    <row r="42" spans="1:14" ht="15" thickBot="1">
      <c r="A42" s="98"/>
      <c r="C42" s="337"/>
      <c r="D42" s="131">
        <f>+D41+1</f>
        <v>27</v>
      </c>
      <c r="E42" s="324" t="s">
        <v>218</v>
      </c>
      <c r="F42" s="325"/>
      <c r="G42" s="325"/>
      <c r="H42" s="325"/>
      <c r="I42" s="325"/>
      <c r="J42" s="326"/>
      <c r="K42" s="122" t="s">
        <v>4</v>
      </c>
      <c r="L42" s="123">
        <f>SUM(J36:K41)</f>
        <v>0</v>
      </c>
      <c r="N42" s="98"/>
    </row>
    <row r="43" spans="1:14" ht="3.75" customHeight="1" thickBot="1">
      <c r="A43" s="98"/>
      <c r="C43" s="289"/>
      <c r="D43" s="290"/>
      <c r="E43" s="290"/>
      <c r="F43" s="290"/>
      <c r="G43" s="290"/>
      <c r="H43" s="290"/>
      <c r="I43" s="290"/>
      <c r="J43" s="290"/>
      <c r="K43" s="290"/>
      <c r="L43" s="291"/>
      <c r="N43" s="98"/>
    </row>
    <row r="44" spans="1:14">
      <c r="A44" s="98"/>
      <c r="C44" s="135" t="s">
        <v>12</v>
      </c>
      <c r="D44" s="120">
        <f>+D42+1</f>
        <v>28</v>
      </c>
      <c r="E44" s="306" t="s">
        <v>121</v>
      </c>
      <c r="F44" s="306"/>
      <c r="G44" s="306"/>
      <c r="H44" s="306"/>
      <c r="I44" s="120" t="s">
        <v>2</v>
      </c>
      <c r="J44" s="304"/>
      <c r="K44" s="304"/>
      <c r="L44" s="315"/>
      <c r="N44" s="98"/>
    </row>
    <row r="45" spans="1:14">
      <c r="A45" s="98"/>
      <c r="C45" s="292" t="s">
        <v>20</v>
      </c>
      <c r="D45" s="121">
        <f t="shared" si="1"/>
        <v>29</v>
      </c>
      <c r="E45" s="295" t="s">
        <v>21</v>
      </c>
      <c r="F45" s="295"/>
      <c r="G45" s="295"/>
      <c r="H45" s="295"/>
      <c r="I45" s="121" t="s">
        <v>2</v>
      </c>
      <c r="J45" s="285"/>
      <c r="K45" s="285"/>
      <c r="L45" s="317"/>
      <c r="N45" s="98"/>
    </row>
    <row r="46" spans="1:14">
      <c r="A46" s="98"/>
      <c r="C46" s="293"/>
      <c r="D46" s="121">
        <f t="shared" si="1"/>
        <v>30</v>
      </c>
      <c r="E46" s="295" t="s">
        <v>22</v>
      </c>
      <c r="F46" s="295"/>
      <c r="G46" s="295"/>
      <c r="H46" s="295"/>
      <c r="I46" s="121" t="s">
        <v>2</v>
      </c>
      <c r="J46" s="285"/>
      <c r="K46" s="285"/>
      <c r="L46" s="317"/>
      <c r="N46" s="98"/>
    </row>
    <row r="47" spans="1:14">
      <c r="A47" s="98"/>
      <c r="C47" s="293"/>
      <c r="D47" s="121">
        <f t="shared" si="1"/>
        <v>31</v>
      </c>
      <c r="E47" s="295" t="s">
        <v>124</v>
      </c>
      <c r="F47" s="295"/>
      <c r="G47" s="295"/>
      <c r="H47" s="295"/>
      <c r="I47" s="121" t="s">
        <v>2</v>
      </c>
      <c r="J47" s="285"/>
      <c r="K47" s="285"/>
      <c r="L47" s="317"/>
      <c r="N47" s="98"/>
    </row>
    <row r="48" spans="1:14">
      <c r="A48" s="98"/>
      <c r="C48" s="293"/>
      <c r="D48" s="121">
        <f t="shared" si="1"/>
        <v>32</v>
      </c>
      <c r="E48" s="295" t="s">
        <v>145</v>
      </c>
      <c r="F48" s="295"/>
      <c r="G48" s="295"/>
      <c r="H48" s="295"/>
      <c r="I48" s="121" t="s">
        <v>2</v>
      </c>
      <c r="J48" s="285"/>
      <c r="K48" s="285"/>
      <c r="L48" s="317"/>
      <c r="N48" s="98"/>
    </row>
    <row r="49" spans="1:14">
      <c r="A49" s="98"/>
      <c r="C49" s="293"/>
      <c r="D49" s="121">
        <f t="shared" si="1"/>
        <v>33</v>
      </c>
      <c r="E49" s="295" t="s">
        <v>123</v>
      </c>
      <c r="F49" s="295"/>
      <c r="G49" s="295"/>
      <c r="H49" s="295"/>
      <c r="I49" s="121" t="s">
        <v>2</v>
      </c>
      <c r="J49" s="285"/>
      <c r="K49" s="285"/>
      <c r="L49" s="317"/>
      <c r="N49" s="98"/>
    </row>
    <row r="50" spans="1:14">
      <c r="A50" s="98"/>
      <c r="C50" s="293"/>
      <c r="D50" s="121">
        <f t="shared" si="1"/>
        <v>34</v>
      </c>
      <c r="E50" s="295" t="s">
        <v>122</v>
      </c>
      <c r="F50" s="295"/>
      <c r="G50" s="295"/>
      <c r="H50" s="295"/>
      <c r="I50" s="121" t="s">
        <v>2</v>
      </c>
      <c r="J50" s="285"/>
      <c r="K50" s="285"/>
      <c r="L50" s="317"/>
      <c r="N50" s="98"/>
    </row>
    <row r="51" spans="1:14">
      <c r="A51" s="98"/>
      <c r="C51" s="293"/>
      <c r="D51" s="121">
        <f t="shared" si="1"/>
        <v>35</v>
      </c>
      <c r="E51" s="295" t="s">
        <v>23</v>
      </c>
      <c r="F51" s="295"/>
      <c r="G51" s="295"/>
      <c r="H51" s="295"/>
      <c r="I51" s="121" t="s">
        <v>2</v>
      </c>
      <c r="J51" s="285"/>
      <c r="K51" s="285"/>
      <c r="L51" s="317"/>
      <c r="N51" s="98"/>
    </row>
    <row r="52" spans="1:14" ht="15" thickBot="1">
      <c r="A52" s="98"/>
      <c r="C52" s="294"/>
      <c r="D52" s="131">
        <f t="shared" si="1"/>
        <v>36</v>
      </c>
      <c r="E52" s="280" t="s">
        <v>219</v>
      </c>
      <c r="F52" s="280"/>
      <c r="G52" s="280"/>
      <c r="H52" s="280"/>
      <c r="I52" s="280"/>
      <c r="J52" s="280"/>
      <c r="K52" s="122" t="s">
        <v>4</v>
      </c>
      <c r="L52" s="123">
        <f>SUM(J44:K51)</f>
        <v>0</v>
      </c>
      <c r="N52" s="98"/>
    </row>
    <row r="53" spans="1:14" ht="5.25" customHeight="1" thickBot="1">
      <c r="A53" s="98"/>
      <c r="C53" s="300"/>
      <c r="D53" s="301"/>
      <c r="E53" s="301"/>
      <c r="F53" s="301"/>
      <c r="G53" s="301"/>
      <c r="H53" s="301"/>
      <c r="I53" s="301"/>
      <c r="J53" s="301"/>
      <c r="K53" s="301"/>
      <c r="L53" s="302"/>
      <c r="N53" s="98"/>
    </row>
    <row r="54" spans="1:14" ht="15" thickBot="1">
      <c r="A54" s="98"/>
      <c r="C54" s="136" t="s">
        <v>45</v>
      </c>
      <c r="D54" s="202">
        <f>+D52+1</f>
        <v>37</v>
      </c>
      <c r="E54" s="286" t="s">
        <v>38</v>
      </c>
      <c r="F54" s="287"/>
      <c r="G54" s="287"/>
      <c r="H54" s="287"/>
      <c r="I54" s="287"/>
      <c r="J54" s="288"/>
      <c r="K54" s="124" t="s">
        <v>4</v>
      </c>
      <c r="L54" s="194"/>
      <c r="N54" s="98"/>
    </row>
    <row r="55" spans="1:14" ht="4.5" customHeight="1" thickBot="1">
      <c r="A55" s="98"/>
      <c r="C55" s="300"/>
      <c r="D55" s="301"/>
      <c r="E55" s="301"/>
      <c r="F55" s="301"/>
      <c r="G55" s="301"/>
      <c r="H55" s="301"/>
      <c r="I55" s="301"/>
      <c r="J55" s="301"/>
      <c r="K55" s="301"/>
      <c r="L55" s="302"/>
      <c r="N55" s="98"/>
    </row>
    <row r="56" spans="1:14">
      <c r="A56" s="98"/>
      <c r="C56" s="135" t="s">
        <v>46</v>
      </c>
      <c r="D56" s="120">
        <f>D54+1</f>
        <v>38</v>
      </c>
      <c r="E56" s="306" t="s">
        <v>173</v>
      </c>
      <c r="F56" s="306"/>
      <c r="G56" s="306"/>
      <c r="H56" s="306"/>
      <c r="I56" s="120" t="s">
        <v>2</v>
      </c>
      <c r="J56" s="304"/>
      <c r="K56" s="304"/>
      <c r="L56" s="315"/>
      <c r="N56" s="98"/>
    </row>
    <row r="57" spans="1:14">
      <c r="A57" s="98"/>
      <c r="C57" s="335" t="s">
        <v>39</v>
      </c>
      <c r="D57" s="121">
        <f t="shared" si="1"/>
        <v>39</v>
      </c>
      <c r="E57" s="295" t="s">
        <v>174</v>
      </c>
      <c r="F57" s="295"/>
      <c r="G57" s="295"/>
      <c r="H57" s="295"/>
      <c r="I57" s="121" t="s">
        <v>2</v>
      </c>
      <c r="J57" s="285"/>
      <c r="K57" s="285"/>
      <c r="L57" s="317"/>
      <c r="N57" s="98"/>
    </row>
    <row r="58" spans="1:14">
      <c r="A58" s="98"/>
      <c r="C58" s="336"/>
      <c r="D58" s="121">
        <f t="shared" si="1"/>
        <v>40</v>
      </c>
      <c r="E58" s="295" t="s">
        <v>175</v>
      </c>
      <c r="F58" s="295"/>
      <c r="G58" s="295"/>
      <c r="H58" s="295"/>
      <c r="I58" s="121" t="s">
        <v>2</v>
      </c>
      <c r="J58" s="285"/>
      <c r="K58" s="285"/>
      <c r="L58" s="317"/>
      <c r="N58" s="98"/>
    </row>
    <row r="59" spans="1:14">
      <c r="A59" s="98"/>
      <c r="C59" s="336"/>
      <c r="D59" s="121">
        <f t="shared" si="1"/>
        <v>41</v>
      </c>
      <c r="E59" s="295" t="s">
        <v>146</v>
      </c>
      <c r="F59" s="295"/>
      <c r="G59" s="295"/>
      <c r="H59" s="295"/>
      <c r="I59" s="121" t="s">
        <v>2</v>
      </c>
      <c r="J59" s="285"/>
      <c r="K59" s="285"/>
      <c r="L59" s="317"/>
      <c r="N59" s="98"/>
    </row>
    <row r="60" spans="1:14">
      <c r="A60" s="98"/>
      <c r="C60" s="336"/>
      <c r="D60" s="121">
        <f t="shared" si="1"/>
        <v>42</v>
      </c>
      <c r="E60" s="295" t="s">
        <v>147</v>
      </c>
      <c r="F60" s="295"/>
      <c r="G60" s="295"/>
      <c r="H60" s="295"/>
      <c r="I60" s="121" t="s">
        <v>2</v>
      </c>
      <c r="J60" s="285"/>
      <c r="K60" s="285"/>
      <c r="L60" s="317"/>
      <c r="N60" s="98"/>
    </row>
    <row r="61" spans="1:14">
      <c r="A61" s="98"/>
      <c r="C61" s="336"/>
      <c r="D61" s="121">
        <f t="shared" si="1"/>
        <v>43</v>
      </c>
      <c r="E61" s="295" t="s">
        <v>44</v>
      </c>
      <c r="F61" s="295"/>
      <c r="G61" s="295"/>
      <c r="H61" s="295"/>
      <c r="I61" s="121" t="s">
        <v>2</v>
      </c>
      <c r="J61" s="285"/>
      <c r="K61" s="285"/>
      <c r="L61" s="317"/>
      <c r="N61" s="98"/>
    </row>
    <row r="62" spans="1:14">
      <c r="A62" s="98"/>
      <c r="C62" s="336"/>
      <c r="D62" s="121">
        <f t="shared" si="1"/>
        <v>44</v>
      </c>
      <c r="E62" s="295" t="s">
        <v>172</v>
      </c>
      <c r="F62" s="295"/>
      <c r="G62" s="295"/>
      <c r="H62" s="295"/>
      <c r="I62" s="121" t="s">
        <v>2</v>
      </c>
      <c r="J62" s="285"/>
      <c r="K62" s="285"/>
      <c r="L62" s="317"/>
      <c r="N62" s="98"/>
    </row>
    <row r="63" spans="1:14" ht="15" thickBot="1">
      <c r="A63" s="98"/>
      <c r="C63" s="337"/>
      <c r="D63" s="131">
        <f>+D62+1</f>
        <v>45</v>
      </c>
      <c r="E63" s="280" t="s">
        <v>220</v>
      </c>
      <c r="F63" s="280"/>
      <c r="G63" s="280"/>
      <c r="H63" s="280"/>
      <c r="I63" s="280"/>
      <c r="J63" s="280"/>
      <c r="K63" s="122" t="s">
        <v>4</v>
      </c>
      <c r="L63" s="125">
        <f>SUM(J56:K62)</f>
        <v>0</v>
      </c>
      <c r="N63" s="98"/>
    </row>
    <row r="64" spans="1:14" ht="4.5" customHeight="1" thickBot="1">
      <c r="A64" s="98"/>
      <c r="C64" s="300"/>
      <c r="D64" s="301"/>
      <c r="E64" s="301"/>
      <c r="F64" s="301"/>
      <c r="G64" s="301"/>
      <c r="H64" s="301"/>
      <c r="I64" s="301"/>
      <c r="J64" s="301"/>
      <c r="K64" s="301"/>
      <c r="L64" s="302"/>
      <c r="N64" s="98"/>
    </row>
    <row r="65" spans="1:14" ht="21" customHeight="1">
      <c r="A65" s="98"/>
      <c r="C65" s="349" t="s">
        <v>40</v>
      </c>
      <c r="D65" s="120">
        <f>+D63+1</f>
        <v>46</v>
      </c>
      <c r="E65" s="306" t="s">
        <v>24</v>
      </c>
      <c r="F65" s="306"/>
      <c r="G65" s="306"/>
      <c r="H65" s="306"/>
      <c r="I65" s="120" t="s">
        <v>2</v>
      </c>
      <c r="J65" s="304"/>
      <c r="K65" s="304"/>
      <c r="L65" s="315"/>
      <c r="N65" s="98"/>
    </row>
    <row r="66" spans="1:14" ht="15" customHeight="1">
      <c r="A66" s="98"/>
      <c r="C66" s="350"/>
      <c r="D66" s="121">
        <f t="shared" si="1"/>
        <v>47</v>
      </c>
      <c r="E66" s="295" t="s">
        <v>25</v>
      </c>
      <c r="F66" s="295"/>
      <c r="G66" s="295"/>
      <c r="H66" s="295"/>
      <c r="I66" s="121" t="s">
        <v>2</v>
      </c>
      <c r="J66" s="285"/>
      <c r="K66" s="285"/>
      <c r="L66" s="317"/>
      <c r="N66" s="98"/>
    </row>
    <row r="67" spans="1:14">
      <c r="A67" s="98"/>
      <c r="C67" s="350"/>
      <c r="D67" s="121">
        <f t="shared" si="1"/>
        <v>48</v>
      </c>
      <c r="E67" s="295" t="s">
        <v>26</v>
      </c>
      <c r="F67" s="295"/>
      <c r="G67" s="295"/>
      <c r="H67" s="295"/>
      <c r="I67" s="121" t="s">
        <v>2</v>
      </c>
      <c r="J67" s="285"/>
      <c r="K67" s="285"/>
      <c r="L67" s="317"/>
      <c r="N67" s="98"/>
    </row>
    <row r="68" spans="1:14">
      <c r="A68" s="98"/>
      <c r="C68" s="350"/>
      <c r="D68" s="121">
        <f t="shared" si="1"/>
        <v>49</v>
      </c>
      <c r="E68" s="295" t="s">
        <v>28</v>
      </c>
      <c r="F68" s="295"/>
      <c r="G68" s="295"/>
      <c r="H68" s="295"/>
      <c r="I68" s="121" t="s">
        <v>2</v>
      </c>
      <c r="J68" s="285"/>
      <c r="K68" s="285"/>
      <c r="L68" s="317"/>
      <c r="N68" s="98"/>
    </row>
    <row r="69" spans="1:14">
      <c r="A69" s="98"/>
      <c r="C69" s="350"/>
      <c r="D69" s="121">
        <f t="shared" si="1"/>
        <v>50</v>
      </c>
      <c r="E69" s="295" t="s">
        <v>27</v>
      </c>
      <c r="F69" s="295"/>
      <c r="G69" s="295"/>
      <c r="H69" s="295"/>
      <c r="I69" s="121" t="s">
        <v>2</v>
      </c>
      <c r="J69" s="285"/>
      <c r="K69" s="285"/>
      <c r="L69" s="317"/>
      <c r="N69" s="98"/>
    </row>
    <row r="70" spans="1:14" ht="15" customHeight="1" thickBot="1">
      <c r="A70" s="98"/>
      <c r="C70" s="351"/>
      <c r="D70" s="131">
        <f t="shared" si="1"/>
        <v>51</v>
      </c>
      <c r="E70" s="280" t="s">
        <v>221</v>
      </c>
      <c r="F70" s="280"/>
      <c r="G70" s="280"/>
      <c r="H70" s="280"/>
      <c r="I70" s="280"/>
      <c r="J70" s="280"/>
      <c r="K70" s="122" t="s">
        <v>4</v>
      </c>
      <c r="L70" s="123">
        <f>SUM(J65:K69)</f>
        <v>0</v>
      </c>
      <c r="N70" s="98"/>
    </row>
    <row r="71" spans="1:14" ht="3.75" customHeight="1" thickBot="1">
      <c r="A71" s="98"/>
      <c r="C71" s="300"/>
      <c r="D71" s="301"/>
      <c r="E71" s="301"/>
      <c r="F71" s="301"/>
      <c r="G71" s="301"/>
      <c r="H71" s="301"/>
      <c r="I71" s="301"/>
      <c r="J71" s="301"/>
      <c r="K71" s="301"/>
      <c r="L71" s="302"/>
      <c r="N71" s="98"/>
    </row>
    <row r="72" spans="1:14" ht="18.75" customHeight="1">
      <c r="A72" s="98"/>
      <c r="C72" s="346" t="s">
        <v>41</v>
      </c>
      <c r="D72" s="126">
        <f>+D70+1</f>
        <v>52</v>
      </c>
      <c r="E72" s="329" t="s">
        <v>29</v>
      </c>
      <c r="F72" s="329"/>
      <c r="G72" s="329"/>
      <c r="H72" s="329"/>
      <c r="I72" s="126" t="s">
        <v>2</v>
      </c>
      <c r="J72" s="313"/>
      <c r="K72" s="313"/>
      <c r="L72" s="315"/>
      <c r="N72" s="98"/>
    </row>
    <row r="73" spans="1:14" ht="18.75" customHeight="1">
      <c r="A73" s="98"/>
      <c r="C73" s="347"/>
      <c r="D73" s="127">
        <f>+D72+1</f>
        <v>53</v>
      </c>
      <c r="E73" s="282" t="s">
        <v>133</v>
      </c>
      <c r="F73" s="283"/>
      <c r="G73" s="283"/>
      <c r="H73" s="284"/>
      <c r="I73" s="128" t="s">
        <v>2</v>
      </c>
      <c r="J73" s="327"/>
      <c r="K73" s="328"/>
      <c r="L73" s="316"/>
      <c r="N73" s="98"/>
    </row>
    <row r="74" spans="1:14" ht="18.75" customHeight="1">
      <c r="A74" s="98"/>
      <c r="C74" s="347"/>
      <c r="D74" s="128">
        <f>+D73+1</f>
        <v>54</v>
      </c>
      <c r="E74" s="341" t="s">
        <v>30</v>
      </c>
      <c r="F74" s="341"/>
      <c r="G74" s="341"/>
      <c r="H74" s="341"/>
      <c r="I74" s="128" t="s">
        <v>2</v>
      </c>
      <c r="J74" s="343"/>
      <c r="K74" s="344"/>
      <c r="L74" s="317"/>
      <c r="N74" s="98"/>
    </row>
    <row r="75" spans="1:14" ht="18.75" customHeight="1" thickBot="1">
      <c r="A75" s="98"/>
      <c r="C75" s="348"/>
      <c r="D75" s="129">
        <f>+D74+1</f>
        <v>55</v>
      </c>
      <c r="E75" s="345" t="s">
        <v>222</v>
      </c>
      <c r="F75" s="345"/>
      <c r="G75" s="345"/>
      <c r="H75" s="345"/>
      <c r="I75" s="345"/>
      <c r="J75" s="345"/>
      <c r="K75" s="130" t="s">
        <v>4</v>
      </c>
      <c r="L75" s="123">
        <f>SUM(J72:K74)</f>
        <v>0</v>
      </c>
      <c r="N75" s="98"/>
    </row>
    <row r="76" spans="1:14" ht="7.5" customHeight="1" thickBot="1">
      <c r="A76" s="98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N76" s="98"/>
    </row>
    <row r="77" spans="1:14">
      <c r="A77" s="98"/>
      <c r="C77" s="135" t="s">
        <v>47</v>
      </c>
      <c r="D77" s="120">
        <f>+D75+1</f>
        <v>56</v>
      </c>
      <c r="E77" s="296" t="s">
        <v>149</v>
      </c>
      <c r="F77" s="296"/>
      <c r="G77" s="296"/>
      <c r="H77" s="296"/>
      <c r="I77" s="120" t="s">
        <v>2</v>
      </c>
      <c r="J77" s="304"/>
      <c r="K77" s="304"/>
      <c r="L77" s="315"/>
      <c r="N77" s="98"/>
    </row>
    <row r="78" spans="1:14">
      <c r="A78" s="98"/>
      <c r="C78" s="335" t="s">
        <v>42</v>
      </c>
      <c r="D78" s="121">
        <f t="shared" ref="D78:D84" si="2">+D77+1</f>
        <v>57</v>
      </c>
      <c r="E78" s="279" t="s">
        <v>31</v>
      </c>
      <c r="F78" s="279"/>
      <c r="G78" s="279"/>
      <c r="H78" s="279"/>
      <c r="I78" s="121" t="s">
        <v>2</v>
      </c>
      <c r="J78" s="285"/>
      <c r="K78" s="285"/>
      <c r="L78" s="317"/>
      <c r="N78" s="98"/>
    </row>
    <row r="79" spans="1:14">
      <c r="A79" s="98"/>
      <c r="C79" s="336"/>
      <c r="D79" s="121">
        <f t="shared" si="2"/>
        <v>58</v>
      </c>
      <c r="E79" s="279" t="s">
        <v>32</v>
      </c>
      <c r="F79" s="279"/>
      <c r="G79" s="279"/>
      <c r="H79" s="279"/>
      <c r="I79" s="121" t="s">
        <v>2</v>
      </c>
      <c r="J79" s="285"/>
      <c r="K79" s="285"/>
      <c r="L79" s="317"/>
      <c r="N79" s="98"/>
    </row>
    <row r="80" spans="1:14">
      <c r="A80" s="98"/>
      <c r="C80" s="336"/>
      <c r="D80" s="121">
        <f t="shared" si="2"/>
        <v>59</v>
      </c>
      <c r="E80" s="279" t="s">
        <v>176</v>
      </c>
      <c r="F80" s="279"/>
      <c r="G80" s="279"/>
      <c r="H80" s="279"/>
      <c r="I80" s="121" t="s">
        <v>2</v>
      </c>
      <c r="J80" s="285"/>
      <c r="K80" s="285"/>
      <c r="L80" s="317"/>
      <c r="N80" s="98"/>
    </row>
    <row r="81" spans="1:14">
      <c r="A81" s="98"/>
      <c r="C81" s="336"/>
      <c r="D81" s="121">
        <f t="shared" si="2"/>
        <v>60</v>
      </c>
      <c r="E81" s="279" t="s">
        <v>33</v>
      </c>
      <c r="F81" s="279"/>
      <c r="G81" s="279"/>
      <c r="H81" s="279"/>
      <c r="I81" s="121" t="s">
        <v>2</v>
      </c>
      <c r="J81" s="285"/>
      <c r="K81" s="285"/>
      <c r="L81" s="317"/>
      <c r="N81" s="98"/>
    </row>
    <row r="82" spans="1:14">
      <c r="A82" s="98"/>
      <c r="C82" s="336"/>
      <c r="D82" s="121">
        <f t="shared" si="2"/>
        <v>61</v>
      </c>
      <c r="E82" s="342" t="s">
        <v>34</v>
      </c>
      <c r="F82" s="342"/>
      <c r="G82" s="342"/>
      <c r="H82" s="342"/>
      <c r="I82" s="121" t="s">
        <v>2</v>
      </c>
      <c r="J82" s="285"/>
      <c r="K82" s="285"/>
      <c r="L82" s="317"/>
      <c r="N82" s="98"/>
    </row>
    <row r="83" spans="1:14">
      <c r="A83" s="98"/>
      <c r="C83" s="336"/>
      <c r="D83" s="121">
        <f>+D82+1</f>
        <v>62</v>
      </c>
      <c r="E83" s="279" t="s">
        <v>35</v>
      </c>
      <c r="F83" s="279"/>
      <c r="G83" s="279"/>
      <c r="H83" s="279"/>
      <c r="I83" s="121" t="s">
        <v>2</v>
      </c>
      <c r="J83" s="285"/>
      <c r="K83" s="285"/>
      <c r="L83" s="317"/>
      <c r="N83" s="98"/>
    </row>
    <row r="84" spans="1:14" ht="15" thickBot="1">
      <c r="A84" s="98"/>
      <c r="C84" s="337"/>
      <c r="D84" s="131">
        <f t="shared" si="2"/>
        <v>63</v>
      </c>
      <c r="E84" s="280" t="s">
        <v>223</v>
      </c>
      <c r="F84" s="280"/>
      <c r="G84" s="280"/>
      <c r="H84" s="280"/>
      <c r="I84" s="280"/>
      <c r="J84" s="280"/>
      <c r="K84" s="122" t="s">
        <v>4</v>
      </c>
      <c r="L84" s="123">
        <f>SUM(J77:K83)</f>
        <v>0</v>
      </c>
      <c r="N84" s="98"/>
    </row>
    <row r="85" spans="1:14" ht="5.25" customHeight="1" thickBot="1">
      <c r="A85" s="98"/>
      <c r="C85" s="300"/>
      <c r="D85" s="301"/>
      <c r="E85" s="301"/>
      <c r="F85" s="301"/>
      <c r="G85" s="301"/>
      <c r="H85" s="301"/>
      <c r="I85" s="301"/>
      <c r="J85" s="301"/>
      <c r="K85" s="301"/>
      <c r="L85" s="302"/>
      <c r="N85" s="98"/>
    </row>
    <row r="86" spans="1:14" ht="22.5" customHeight="1">
      <c r="A86" s="98"/>
      <c r="C86" s="318" t="s">
        <v>43</v>
      </c>
      <c r="D86" s="126">
        <f>+D84+1</f>
        <v>64</v>
      </c>
      <c r="E86" s="329" t="s">
        <v>36</v>
      </c>
      <c r="F86" s="329"/>
      <c r="G86" s="329"/>
      <c r="H86" s="329"/>
      <c r="I86" s="126" t="s">
        <v>2</v>
      </c>
      <c r="J86" s="313"/>
      <c r="K86" s="313"/>
      <c r="L86" s="332"/>
      <c r="N86" s="98"/>
    </row>
    <row r="87" spans="1:14" ht="22.5" customHeight="1">
      <c r="A87" s="98"/>
      <c r="C87" s="319"/>
      <c r="D87" s="128">
        <f>D86+1</f>
        <v>65</v>
      </c>
      <c r="E87" s="341" t="s">
        <v>37</v>
      </c>
      <c r="F87" s="341"/>
      <c r="G87" s="341"/>
      <c r="H87" s="341"/>
      <c r="I87" s="128" t="s">
        <v>2</v>
      </c>
      <c r="J87" s="323"/>
      <c r="K87" s="323"/>
      <c r="L87" s="333"/>
      <c r="N87" s="98"/>
    </row>
    <row r="88" spans="1:14" ht="22.5" customHeight="1" thickBot="1">
      <c r="A88" s="98"/>
      <c r="C88" s="320"/>
      <c r="D88" s="129">
        <f>+D87+1</f>
        <v>66</v>
      </c>
      <c r="E88" s="321" t="s">
        <v>224</v>
      </c>
      <c r="F88" s="321"/>
      <c r="G88" s="321"/>
      <c r="H88" s="321"/>
      <c r="I88" s="321"/>
      <c r="J88" s="321"/>
      <c r="K88" s="130" t="s">
        <v>4</v>
      </c>
      <c r="L88" s="132">
        <f>SUM(J86:K87)</f>
        <v>0</v>
      </c>
      <c r="N88" s="98"/>
    </row>
    <row r="89" spans="1:14" ht="8.25" customHeight="1" thickBot="1">
      <c r="A89" s="98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N89" s="98"/>
    </row>
    <row r="90" spans="1:14" ht="15" thickBot="1">
      <c r="A90" s="98"/>
      <c r="C90" s="133">
        <f>+D88+1</f>
        <v>67</v>
      </c>
      <c r="D90" s="322" t="s">
        <v>225</v>
      </c>
      <c r="E90" s="322"/>
      <c r="F90" s="322"/>
      <c r="G90" s="322"/>
      <c r="H90" s="322"/>
      <c r="I90" s="322"/>
      <c r="J90" s="322"/>
      <c r="K90" s="134" t="s">
        <v>4</v>
      </c>
      <c r="L90" s="137">
        <f>+L27-L34-L42-L52-L54-L63-L70-L75-L84-L88</f>
        <v>0</v>
      </c>
      <c r="N90" s="98"/>
    </row>
    <row r="91" spans="1:14" ht="6" customHeight="1">
      <c r="A91" s="98"/>
      <c r="D91" s="3"/>
      <c r="N91" s="98"/>
    </row>
    <row r="92" spans="1:14" ht="7.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</row>
    <row r="93" spans="1:14" hidden="1">
      <c r="D93" s="3"/>
    </row>
    <row r="94" spans="1:14" hidden="1">
      <c r="D94" s="3"/>
    </row>
    <row r="95" spans="1:14" hidden="1">
      <c r="D95" s="3"/>
    </row>
    <row r="96" spans="1:14" hidden="1">
      <c r="D96" s="3"/>
    </row>
    <row r="97" spans="4:4" hidden="1">
      <c r="D97" s="3"/>
    </row>
    <row r="98" spans="4:4" hidden="1">
      <c r="D98" s="3"/>
    </row>
    <row r="99" spans="4:4" hidden="1">
      <c r="D99" s="3"/>
    </row>
  </sheetData>
  <sheetProtection password="C847" sheet="1" selectLockedCells="1"/>
  <mergeCells count="161">
    <mergeCell ref="C30:C34"/>
    <mergeCell ref="C28:L28"/>
    <mergeCell ref="C43:L43"/>
    <mergeCell ref="E17:H17"/>
    <mergeCell ref="J17:K17"/>
    <mergeCell ref="E21:H21"/>
    <mergeCell ref="E27:J27"/>
    <mergeCell ref="E18:H18"/>
    <mergeCell ref="J18:K18"/>
    <mergeCell ref="E19:H19"/>
    <mergeCell ref="J19:K19"/>
    <mergeCell ref="J41:K41"/>
    <mergeCell ref="E32:H32"/>
    <mergeCell ref="E29:H29"/>
    <mergeCell ref="J29:K29"/>
    <mergeCell ref="J30:K30"/>
    <mergeCell ref="J22:K22"/>
    <mergeCell ref="E45:H45"/>
    <mergeCell ref="J49:K49"/>
    <mergeCell ref="E26:H26"/>
    <mergeCell ref="J20:K20"/>
    <mergeCell ref="J21:K21"/>
    <mergeCell ref="J23:K23"/>
    <mergeCell ref="E24:H24"/>
    <mergeCell ref="J36:K36"/>
    <mergeCell ref="E48:H48"/>
    <mergeCell ref="J37:K37"/>
    <mergeCell ref="J38:K38"/>
    <mergeCell ref="J47:K47"/>
    <mergeCell ref="E46:H46"/>
    <mergeCell ref="J46:K46"/>
    <mergeCell ref="C57:C63"/>
    <mergeCell ref="E67:H67"/>
    <mergeCell ref="E66:H66"/>
    <mergeCell ref="E65:H65"/>
    <mergeCell ref="J50:K50"/>
    <mergeCell ref="E50:H50"/>
    <mergeCell ref="J51:K51"/>
    <mergeCell ref="E51:H51"/>
    <mergeCell ref="E40:H40"/>
    <mergeCell ref="E49:H49"/>
    <mergeCell ref="J48:K48"/>
    <mergeCell ref="J40:K40"/>
    <mergeCell ref="J45:K45"/>
    <mergeCell ref="E41:H41"/>
    <mergeCell ref="E44:H44"/>
    <mergeCell ref="C37:C42"/>
    <mergeCell ref="J56:K56"/>
    <mergeCell ref="J32:K32"/>
    <mergeCell ref="J78:K78"/>
    <mergeCell ref="J77:K77"/>
    <mergeCell ref="E33:H33"/>
    <mergeCell ref="J69:K69"/>
    <mergeCell ref="J60:K60"/>
    <mergeCell ref="J62:K62"/>
    <mergeCell ref="E59:H59"/>
    <mergeCell ref="E72:H72"/>
    <mergeCell ref="E74:H74"/>
    <mergeCell ref="J74:K74"/>
    <mergeCell ref="E75:J75"/>
    <mergeCell ref="J72:K72"/>
    <mergeCell ref="C55:L55"/>
    <mergeCell ref="C71:L71"/>
    <mergeCell ref="E68:H68"/>
    <mergeCell ref="J57:K57"/>
    <mergeCell ref="E60:H60"/>
    <mergeCell ref="E61:H61"/>
    <mergeCell ref="L65:L69"/>
    <mergeCell ref="C72:C75"/>
    <mergeCell ref="C65:C70"/>
    <mergeCell ref="E4:I4"/>
    <mergeCell ref="L14:L21"/>
    <mergeCell ref="L86:L87"/>
    <mergeCell ref="L56:L62"/>
    <mergeCell ref="L44:L51"/>
    <mergeCell ref="L36:L41"/>
    <mergeCell ref="L29:L33"/>
    <mergeCell ref="E30:H30"/>
    <mergeCell ref="J59:K59"/>
    <mergeCell ref="J44:K44"/>
    <mergeCell ref="J82:K82"/>
    <mergeCell ref="E22:H22"/>
    <mergeCell ref="E23:H23"/>
    <mergeCell ref="E25:H25"/>
    <mergeCell ref="J14:K14"/>
    <mergeCell ref="J15:K15"/>
    <mergeCell ref="J39:K39"/>
    <mergeCell ref="E47:H47"/>
    <mergeCell ref="E87:H87"/>
    <mergeCell ref="J83:K83"/>
    <mergeCell ref="E82:H82"/>
    <mergeCell ref="E84:J84"/>
    <mergeCell ref="J79:K79"/>
    <mergeCell ref="J80:K80"/>
    <mergeCell ref="D90:J90"/>
    <mergeCell ref="J87:K87"/>
    <mergeCell ref="E34:J34"/>
    <mergeCell ref="E42:J42"/>
    <mergeCell ref="E52:J52"/>
    <mergeCell ref="J31:K31"/>
    <mergeCell ref="J33:K33"/>
    <mergeCell ref="J73:K73"/>
    <mergeCell ref="J68:K68"/>
    <mergeCell ref="E86:H86"/>
    <mergeCell ref="J81:K81"/>
    <mergeCell ref="E83:H83"/>
    <mergeCell ref="E69:H69"/>
    <mergeCell ref="E56:H56"/>
    <mergeCell ref="E57:H57"/>
    <mergeCell ref="E38:H38"/>
    <mergeCell ref="E39:H39"/>
    <mergeCell ref="E36:H36"/>
    <mergeCell ref="J86:K86"/>
    <mergeCell ref="C89:L89"/>
    <mergeCell ref="E79:H79"/>
    <mergeCell ref="E80:H80"/>
    <mergeCell ref="E81:H81"/>
    <mergeCell ref="L72:L74"/>
    <mergeCell ref="C86:C88"/>
    <mergeCell ref="C85:L85"/>
    <mergeCell ref="L77:L83"/>
    <mergeCell ref="E88:J88"/>
    <mergeCell ref="C78:C84"/>
    <mergeCell ref="K5:L5"/>
    <mergeCell ref="E14:H14"/>
    <mergeCell ref="E15:H15"/>
    <mergeCell ref="E16:H16"/>
    <mergeCell ref="H11:J11"/>
    <mergeCell ref="J25:K25"/>
    <mergeCell ref="D10:F10"/>
    <mergeCell ref="K6:L6"/>
    <mergeCell ref="J16:K16"/>
    <mergeCell ref="E20:H20"/>
    <mergeCell ref="C7:D7"/>
    <mergeCell ref="L22:L26"/>
    <mergeCell ref="J24:K24"/>
    <mergeCell ref="C15:C27"/>
    <mergeCell ref="E78:H78"/>
    <mergeCell ref="E63:J63"/>
    <mergeCell ref="E70:J70"/>
    <mergeCell ref="K3:L4"/>
    <mergeCell ref="D11:F11"/>
    <mergeCell ref="E73:H73"/>
    <mergeCell ref="J66:K66"/>
    <mergeCell ref="J67:K67"/>
    <mergeCell ref="E54:J54"/>
    <mergeCell ref="J61:K61"/>
    <mergeCell ref="C35:L35"/>
    <mergeCell ref="C45:C52"/>
    <mergeCell ref="E62:H62"/>
    <mergeCell ref="E77:H77"/>
    <mergeCell ref="D9:L9"/>
    <mergeCell ref="C64:L64"/>
    <mergeCell ref="C76:L76"/>
    <mergeCell ref="J58:K58"/>
    <mergeCell ref="J65:K65"/>
    <mergeCell ref="J26:K26"/>
    <mergeCell ref="C53:L53"/>
    <mergeCell ref="E37:H37"/>
    <mergeCell ref="E58:H58"/>
    <mergeCell ref="E31:H31"/>
  </mergeCells>
  <conditionalFormatting sqref="K6:L6 D11:F11 H11:J11">
    <cfRule type="cellIs" dxfId="2" priority="1" stopIfTrue="1" operator="equal">
      <formula>0</formula>
    </cfRule>
  </conditionalFormatting>
  <printOptions horizontalCentered="1"/>
  <pageMargins left="0.44" right="0.2" top="0.35433070866141736" bottom="0.31496062992125984" header="0.31496062992125984" footer="0.31496062992125984"/>
  <pageSetup scale="5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E99C-8DDE-4F78-B8BC-2A01B92F3E8A}">
  <sheetPr codeName="Sheet4">
    <tabColor theme="5" tint="0.79998168889431442"/>
    <pageSetUpPr fitToPage="1"/>
  </sheetPr>
  <dimension ref="A1:IU47"/>
  <sheetViews>
    <sheetView tabSelected="1" topLeftCell="C20" zoomScale="85" zoomScaleNormal="85" workbookViewId="0">
      <selection activeCell="U33" sqref="U33"/>
    </sheetView>
  </sheetViews>
  <sheetFormatPr baseColWidth="10" defaultColWidth="0" defaultRowHeight="12.5" zeroHeight="1"/>
  <cols>
    <col min="1" max="1" width="1.54296875" style="12" customWidth="1"/>
    <col min="2" max="2" width="1.7265625" style="23" customWidth="1"/>
    <col min="3" max="3" width="6.7265625" style="12" customWidth="1"/>
    <col min="4" max="4" width="5.453125" style="12" customWidth="1"/>
    <col min="5" max="5" width="4.54296875" style="83" customWidth="1"/>
    <col min="6" max="7" width="7.7265625" style="12" customWidth="1"/>
    <col min="8" max="8" width="12.81640625" style="12" customWidth="1"/>
    <col min="9" max="9" width="7" style="12" customWidth="1"/>
    <col min="10" max="10" width="8.26953125" style="12" customWidth="1"/>
    <col min="11" max="12" width="7.7265625" style="12" customWidth="1"/>
    <col min="13" max="13" width="12.81640625" style="12" customWidth="1"/>
    <col min="14" max="14" width="6.54296875" style="12" customWidth="1"/>
    <col min="15" max="15" width="12.7265625" style="12" customWidth="1"/>
    <col min="16" max="17" width="7.7265625" style="12" customWidth="1"/>
    <col min="18" max="18" width="12.81640625" style="12" customWidth="1"/>
    <col min="19" max="19" width="4" style="12" customWidth="1"/>
    <col min="20" max="20" width="2.7265625" style="12" customWidth="1"/>
    <col min="21" max="21" width="30.54296875" style="12" customWidth="1"/>
    <col min="22" max="22" width="2.7265625" style="12" customWidth="1"/>
    <col min="23" max="23" width="2.54296875" style="12" customWidth="1"/>
    <col min="24" max="24" width="2.54296875" style="23" hidden="1" customWidth="1"/>
    <col min="25" max="255" width="9.1796875" style="12" hidden="1" customWidth="1"/>
    <col min="256" max="16384" width="1.54296875" style="12" hidden="1"/>
  </cols>
  <sheetData>
    <row r="1" spans="1:27" s="38" customFormat="1" ht="8.25" customHeight="1">
      <c r="A1" s="37"/>
      <c r="B1" s="37"/>
      <c r="C1" s="37"/>
      <c r="D1" s="37"/>
      <c r="E1" s="78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9"/>
    </row>
    <row r="2" spans="1:27" s="38" customFormat="1" ht="8.25" customHeight="1">
      <c r="A2" s="37"/>
      <c r="B2" s="39"/>
      <c r="C2" s="39"/>
      <c r="D2" s="39"/>
      <c r="E2" s="7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7"/>
      <c r="X2" s="39"/>
    </row>
    <row r="3" spans="1:27" s="38" customFormat="1" ht="12" customHeight="1">
      <c r="A3" s="37"/>
      <c r="B3" s="39"/>
      <c r="C3" s="39"/>
      <c r="D3" s="39"/>
      <c r="E3" s="7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7"/>
      <c r="X3" s="39"/>
    </row>
    <row r="4" spans="1:27" s="38" customFormat="1" ht="12.75" customHeight="1">
      <c r="A4" s="37"/>
      <c r="B4" s="39"/>
      <c r="C4" s="39"/>
      <c r="D4" s="39"/>
      <c r="E4" s="7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230" t="s">
        <v>127</v>
      </c>
      <c r="V4" s="40"/>
      <c r="W4" s="37"/>
      <c r="X4" s="39"/>
    </row>
    <row r="5" spans="1:27" s="39" customFormat="1" ht="30.5" thickBot="1">
      <c r="A5" s="37"/>
      <c r="E5" s="79"/>
      <c r="F5" s="41" t="s">
        <v>161</v>
      </c>
      <c r="G5" s="41"/>
      <c r="H5" s="41"/>
      <c r="I5" s="41"/>
      <c r="J5" s="41"/>
      <c r="K5" s="41"/>
      <c r="L5" s="41"/>
      <c r="M5" s="41"/>
      <c r="N5" s="42"/>
      <c r="O5" s="42"/>
      <c r="P5" s="43"/>
      <c r="Q5" s="43"/>
      <c r="R5" s="43"/>
      <c r="S5" s="43"/>
      <c r="T5" s="43"/>
      <c r="U5" s="230"/>
      <c r="V5" s="40"/>
      <c r="W5" s="44"/>
      <c r="X5" s="43"/>
      <c r="Y5" s="43"/>
      <c r="Z5" s="43"/>
      <c r="AA5" s="43"/>
    </row>
    <row r="6" spans="1:27" s="39" customFormat="1" ht="20">
      <c r="A6" s="37"/>
      <c r="E6" s="79"/>
      <c r="F6" s="368" t="s">
        <v>213</v>
      </c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46"/>
      <c r="R6" s="46"/>
      <c r="S6" s="45"/>
      <c r="T6" s="305" t="s">
        <v>56</v>
      </c>
      <c r="U6" s="305"/>
      <c r="V6" s="45"/>
      <c r="W6" s="47"/>
      <c r="X6" s="99"/>
      <c r="Y6" s="48"/>
      <c r="Z6" s="48"/>
      <c r="AA6" s="48"/>
    </row>
    <row r="7" spans="1:27" s="39" customFormat="1" ht="24" customHeight="1">
      <c r="A7" s="37"/>
      <c r="E7" s="386"/>
      <c r="F7" s="386"/>
      <c r="G7" s="386"/>
      <c r="H7" s="386"/>
      <c r="I7" s="386"/>
      <c r="J7" s="387"/>
      <c r="K7" s="387"/>
      <c r="L7" s="387"/>
      <c r="M7" s="388"/>
      <c r="N7" s="388"/>
      <c r="T7" s="258">
        <f>AÑO_FISCAL</f>
        <v>0</v>
      </c>
      <c r="U7" s="258"/>
      <c r="W7" s="37"/>
    </row>
    <row r="8" spans="1:27" s="39" customFormat="1" ht="15" customHeight="1">
      <c r="A8" s="37"/>
      <c r="C8" s="379" t="s">
        <v>197</v>
      </c>
      <c r="D8" s="379"/>
      <c r="E8" s="379"/>
      <c r="F8" s="49"/>
      <c r="G8" s="49"/>
      <c r="H8" s="49"/>
      <c r="I8" s="49"/>
      <c r="J8" s="49"/>
      <c r="K8" s="49"/>
      <c r="L8" s="49"/>
      <c r="M8" s="49"/>
      <c r="N8" s="49"/>
      <c r="O8" s="50"/>
      <c r="W8" s="37"/>
    </row>
    <row r="9" spans="1:27" ht="13" thickBot="1">
      <c r="A9" s="51"/>
      <c r="C9" s="23"/>
      <c r="D9" s="23"/>
      <c r="E9" s="80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51"/>
    </row>
    <row r="10" spans="1:27" ht="14.5">
      <c r="A10" s="51"/>
      <c r="C10" s="97"/>
      <c r="D10" s="104" t="s">
        <v>53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6"/>
      <c r="V10" s="23"/>
      <c r="W10" s="51"/>
    </row>
    <row r="11" spans="1:27" ht="16.5" customHeight="1">
      <c r="A11" s="51"/>
      <c r="C11" s="92"/>
      <c r="D11" s="310" t="s">
        <v>168</v>
      </c>
      <c r="E11" s="310"/>
      <c r="F11" s="310"/>
      <c r="G11" s="1"/>
      <c r="H11" s="64" t="s">
        <v>118</v>
      </c>
      <c r="I11" s="63"/>
      <c r="J11" s="63"/>
      <c r="K11" s="63"/>
      <c r="L11" s="63"/>
      <c r="M11" s="63"/>
      <c r="N11" s="63"/>
      <c r="O11" s="63"/>
      <c r="P11" s="63"/>
      <c r="Q11" s="23"/>
      <c r="R11" s="23"/>
      <c r="S11" s="23"/>
      <c r="T11" s="23"/>
      <c r="U11" s="107"/>
      <c r="V11" s="23"/>
      <c r="W11" s="51"/>
    </row>
    <row r="12" spans="1:27" ht="21" customHeight="1">
      <c r="A12" s="51"/>
      <c r="C12" s="92"/>
      <c r="D12" s="258">
        <f>RNC</f>
        <v>0</v>
      </c>
      <c r="E12" s="258"/>
      <c r="F12" s="258"/>
      <c r="G12" s="95"/>
      <c r="H12" s="259">
        <f>NOMBRE</f>
        <v>0</v>
      </c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107"/>
      <c r="V12" s="23"/>
      <c r="W12" s="51"/>
    </row>
    <row r="13" spans="1:27" ht="14.25" customHeight="1" thickBot="1">
      <c r="A13" s="51"/>
      <c r="C13" s="93"/>
      <c r="D13" s="91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96"/>
      <c r="V13" s="23"/>
      <c r="W13" s="51"/>
    </row>
    <row r="14" spans="1:27" ht="13" thickBot="1">
      <c r="A14" s="51"/>
      <c r="C14" s="23"/>
      <c r="D14" s="23"/>
      <c r="E14" s="8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51"/>
    </row>
    <row r="15" spans="1:27" ht="27" customHeight="1">
      <c r="A15" s="51"/>
      <c r="C15" s="380" t="s">
        <v>57</v>
      </c>
      <c r="D15" s="381"/>
      <c r="E15" s="378" t="s">
        <v>84</v>
      </c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70"/>
      <c r="R15" s="369" t="s">
        <v>139</v>
      </c>
      <c r="S15" s="369"/>
      <c r="T15" s="370"/>
      <c r="U15" s="84" t="s">
        <v>128</v>
      </c>
      <c r="V15" s="52"/>
      <c r="W15" s="51"/>
    </row>
    <row r="16" spans="1:27" ht="27" customHeight="1">
      <c r="A16" s="51"/>
      <c r="C16" s="371" t="s">
        <v>85</v>
      </c>
      <c r="D16" s="372"/>
      <c r="E16" s="100">
        <v>1</v>
      </c>
      <c r="F16" s="365" t="s">
        <v>135</v>
      </c>
      <c r="G16" s="366"/>
      <c r="H16" s="366"/>
      <c r="I16" s="366"/>
      <c r="J16" s="366"/>
      <c r="K16" s="366"/>
      <c r="L16" s="366"/>
      <c r="M16" s="366"/>
      <c r="N16" s="366"/>
      <c r="O16" s="366"/>
      <c r="P16" s="366"/>
      <c r="Q16" s="367"/>
      <c r="R16" s="356"/>
      <c r="S16" s="356"/>
      <c r="T16" s="357"/>
      <c r="U16" s="85"/>
      <c r="V16" s="53"/>
      <c r="W16" s="51"/>
    </row>
    <row r="17" spans="1:23" ht="27" customHeight="1">
      <c r="A17" s="51"/>
      <c r="C17" s="373"/>
      <c r="D17" s="374"/>
      <c r="E17" s="100">
        <f>+E16+1</f>
        <v>2</v>
      </c>
      <c r="F17" s="359" t="s">
        <v>136</v>
      </c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1"/>
      <c r="R17" s="356"/>
      <c r="S17" s="356"/>
      <c r="T17" s="357"/>
      <c r="U17" s="85"/>
      <c r="V17" s="53"/>
      <c r="W17" s="51"/>
    </row>
    <row r="18" spans="1:23" ht="27" customHeight="1">
      <c r="A18" s="51"/>
      <c r="C18" s="373"/>
      <c r="D18" s="374"/>
      <c r="E18" s="100">
        <f t="shared" ref="E18:E36" si="0">+E17+1</f>
        <v>3</v>
      </c>
      <c r="F18" s="359" t="s">
        <v>137</v>
      </c>
      <c r="G18" s="360"/>
      <c r="H18" s="360"/>
      <c r="I18" s="360"/>
      <c r="J18" s="360"/>
      <c r="K18" s="360"/>
      <c r="L18" s="360"/>
      <c r="M18" s="360"/>
      <c r="N18" s="360"/>
      <c r="O18" s="360"/>
      <c r="P18" s="360"/>
      <c r="Q18" s="361"/>
      <c r="R18" s="356"/>
      <c r="S18" s="356"/>
      <c r="T18" s="357"/>
      <c r="U18" s="85"/>
      <c r="V18" s="53"/>
      <c r="W18" s="51"/>
    </row>
    <row r="19" spans="1:23" ht="27" customHeight="1">
      <c r="A19" s="51"/>
      <c r="C19" s="373"/>
      <c r="D19" s="374"/>
      <c r="E19" s="100">
        <f t="shared" si="0"/>
        <v>4</v>
      </c>
      <c r="F19" s="365" t="s">
        <v>86</v>
      </c>
      <c r="G19" s="366"/>
      <c r="H19" s="366"/>
      <c r="I19" s="366"/>
      <c r="J19" s="366"/>
      <c r="K19" s="366"/>
      <c r="L19" s="366"/>
      <c r="M19" s="366"/>
      <c r="N19" s="366"/>
      <c r="O19" s="366"/>
      <c r="P19" s="366"/>
      <c r="Q19" s="366"/>
      <c r="R19" s="366"/>
      <c r="S19" s="366"/>
      <c r="T19" s="367"/>
      <c r="U19" s="85"/>
      <c r="V19" s="53"/>
      <c r="W19" s="51"/>
    </row>
    <row r="20" spans="1:23" ht="27" customHeight="1">
      <c r="A20" s="51"/>
      <c r="C20" s="373"/>
      <c r="D20" s="374"/>
      <c r="E20" s="100">
        <f t="shared" si="0"/>
        <v>5</v>
      </c>
      <c r="F20" s="359" t="s">
        <v>162</v>
      </c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1"/>
      <c r="U20" s="85"/>
      <c r="V20" s="53"/>
      <c r="W20" s="51"/>
    </row>
    <row r="21" spans="1:23" ht="27" customHeight="1">
      <c r="A21" s="51"/>
      <c r="C21" s="373"/>
      <c r="D21" s="374"/>
      <c r="E21" s="100">
        <f t="shared" si="0"/>
        <v>6</v>
      </c>
      <c r="F21" s="359" t="s">
        <v>163</v>
      </c>
      <c r="G21" s="360"/>
      <c r="H21" s="360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1"/>
      <c r="U21" s="85"/>
      <c r="V21" s="53"/>
      <c r="W21" s="51"/>
    </row>
    <row r="22" spans="1:23" ht="27" customHeight="1">
      <c r="A22" s="51"/>
      <c r="C22" s="373"/>
      <c r="D22" s="374"/>
      <c r="E22" s="100">
        <f t="shared" si="0"/>
        <v>7</v>
      </c>
      <c r="F22" s="359" t="s">
        <v>87</v>
      </c>
      <c r="G22" s="360"/>
      <c r="H22" s="360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1"/>
      <c r="U22" s="85"/>
      <c r="V22" s="53"/>
      <c r="W22" s="51"/>
    </row>
    <row r="23" spans="1:23" ht="27" customHeight="1">
      <c r="A23" s="51"/>
      <c r="C23" s="373"/>
      <c r="D23" s="374"/>
      <c r="E23" s="100">
        <f t="shared" si="0"/>
        <v>8</v>
      </c>
      <c r="F23" s="365" t="s">
        <v>164</v>
      </c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7"/>
      <c r="R23" s="356"/>
      <c r="S23" s="356"/>
      <c r="T23" s="357"/>
      <c r="U23" s="85"/>
      <c r="V23" s="53"/>
      <c r="W23" s="51"/>
    </row>
    <row r="24" spans="1:23" ht="27" customHeight="1">
      <c r="A24" s="51"/>
      <c r="C24" s="373"/>
      <c r="D24" s="374"/>
      <c r="E24" s="100">
        <f t="shared" si="0"/>
        <v>9</v>
      </c>
      <c r="F24" s="359" t="s">
        <v>165</v>
      </c>
      <c r="G24" s="360"/>
      <c r="H24" s="360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1"/>
      <c r="U24" s="85"/>
      <c r="V24" s="53"/>
      <c r="W24" s="51"/>
    </row>
    <row r="25" spans="1:23" ht="27" customHeight="1">
      <c r="A25" s="51"/>
      <c r="C25" s="373"/>
      <c r="D25" s="374"/>
      <c r="E25" s="100">
        <f t="shared" si="0"/>
        <v>10</v>
      </c>
      <c r="F25" s="359" t="s">
        <v>166</v>
      </c>
      <c r="G25" s="360"/>
      <c r="H25" s="360"/>
      <c r="I25" s="360"/>
      <c r="J25" s="360"/>
      <c r="K25" s="360"/>
      <c r="L25" s="360"/>
      <c r="M25" s="360"/>
      <c r="N25" s="360"/>
      <c r="O25" s="360"/>
      <c r="P25" s="360"/>
      <c r="Q25" s="360"/>
      <c r="R25" s="360"/>
      <c r="S25" s="360"/>
      <c r="T25" s="361"/>
      <c r="U25" s="85"/>
      <c r="V25" s="53"/>
      <c r="W25" s="51"/>
    </row>
    <row r="26" spans="1:23" ht="27" customHeight="1">
      <c r="A26" s="51"/>
      <c r="C26" s="373"/>
      <c r="D26" s="374"/>
      <c r="E26" s="100">
        <f t="shared" si="0"/>
        <v>11</v>
      </c>
      <c r="F26" s="365" t="s">
        <v>167</v>
      </c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7"/>
      <c r="R26" s="356"/>
      <c r="S26" s="356"/>
      <c r="T26" s="357"/>
      <c r="U26" s="85"/>
      <c r="V26" s="53"/>
      <c r="W26" s="51"/>
    </row>
    <row r="27" spans="1:23" ht="27" customHeight="1">
      <c r="A27" s="51"/>
      <c r="C27" s="373"/>
      <c r="D27" s="374"/>
      <c r="E27" s="100">
        <f t="shared" si="0"/>
        <v>12</v>
      </c>
      <c r="F27" s="359" t="s">
        <v>88</v>
      </c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1"/>
      <c r="U27" s="85"/>
      <c r="V27" s="53"/>
      <c r="W27" s="51"/>
    </row>
    <row r="28" spans="1:23" ht="27" customHeight="1">
      <c r="A28" s="51"/>
      <c r="C28" s="373"/>
      <c r="D28" s="374"/>
      <c r="E28" s="100">
        <f t="shared" si="0"/>
        <v>13</v>
      </c>
      <c r="F28" s="359" t="s">
        <v>89</v>
      </c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1"/>
      <c r="U28" s="85"/>
      <c r="V28" s="53"/>
      <c r="W28" s="51"/>
    </row>
    <row r="29" spans="1:23" ht="27" customHeight="1">
      <c r="A29" s="51"/>
      <c r="C29" s="373"/>
      <c r="D29" s="374"/>
      <c r="E29" s="100">
        <f t="shared" si="0"/>
        <v>14</v>
      </c>
      <c r="F29" s="359" t="s">
        <v>90</v>
      </c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1"/>
      <c r="U29" s="85"/>
      <c r="V29" s="53"/>
      <c r="W29" s="51"/>
    </row>
    <row r="30" spans="1:23" ht="27" customHeight="1">
      <c r="A30" s="51"/>
      <c r="C30" s="373"/>
      <c r="D30" s="374"/>
      <c r="E30" s="100">
        <f t="shared" si="0"/>
        <v>15</v>
      </c>
      <c r="F30" s="365" t="s">
        <v>91</v>
      </c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7"/>
      <c r="R30" s="356"/>
      <c r="S30" s="356"/>
      <c r="T30" s="357"/>
      <c r="U30" s="85"/>
      <c r="V30" s="53"/>
      <c r="W30" s="51"/>
    </row>
    <row r="31" spans="1:23" ht="27" customHeight="1">
      <c r="A31" s="51"/>
      <c r="C31" s="373"/>
      <c r="D31" s="374"/>
      <c r="E31" s="100">
        <f t="shared" si="0"/>
        <v>16</v>
      </c>
      <c r="F31" s="359" t="s">
        <v>92</v>
      </c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1"/>
      <c r="U31" s="85"/>
      <c r="V31" s="53"/>
      <c r="W31" s="51"/>
    </row>
    <row r="32" spans="1:23" ht="27" customHeight="1">
      <c r="A32" s="51"/>
      <c r="C32" s="373"/>
      <c r="D32" s="374"/>
      <c r="E32" s="100">
        <f t="shared" si="0"/>
        <v>17</v>
      </c>
      <c r="F32" s="362" t="s">
        <v>131</v>
      </c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S32" s="363"/>
      <c r="T32" s="364"/>
      <c r="U32" s="86">
        <f>+SUM(U16:U31)</f>
        <v>0</v>
      </c>
      <c r="V32" s="54"/>
      <c r="W32" s="51"/>
    </row>
    <row r="33" spans="1:23" ht="27" customHeight="1">
      <c r="A33" s="51"/>
      <c r="C33" s="373"/>
      <c r="D33" s="374"/>
      <c r="E33" s="100">
        <f t="shared" si="0"/>
        <v>18</v>
      </c>
      <c r="F33" s="359" t="s">
        <v>93</v>
      </c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1"/>
      <c r="U33" s="87"/>
      <c r="V33" s="53"/>
      <c r="W33" s="51"/>
    </row>
    <row r="34" spans="1:23" ht="27" customHeight="1">
      <c r="A34" s="51"/>
      <c r="C34" s="373"/>
      <c r="D34" s="374"/>
      <c r="E34" s="100">
        <f t="shared" si="0"/>
        <v>19</v>
      </c>
      <c r="F34" s="359" t="s">
        <v>94</v>
      </c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1"/>
      <c r="U34" s="87"/>
      <c r="V34" s="53"/>
      <c r="W34" s="51"/>
    </row>
    <row r="35" spans="1:23" ht="27" customHeight="1">
      <c r="A35" s="51"/>
      <c r="C35" s="373"/>
      <c r="D35" s="374"/>
      <c r="E35" s="100">
        <f t="shared" si="0"/>
        <v>20</v>
      </c>
      <c r="F35" s="359" t="s">
        <v>95</v>
      </c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1"/>
      <c r="U35" s="87"/>
      <c r="V35" s="53"/>
      <c r="W35" s="51"/>
    </row>
    <row r="36" spans="1:23" ht="27" customHeight="1" thickBot="1">
      <c r="A36" s="51"/>
      <c r="C36" s="375"/>
      <c r="D36" s="376"/>
      <c r="E36" s="101">
        <f t="shared" si="0"/>
        <v>21</v>
      </c>
      <c r="F36" s="382" t="s">
        <v>130</v>
      </c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4"/>
      <c r="U36" s="88">
        <f>U32-U33-U34-U35</f>
        <v>0</v>
      </c>
      <c r="V36" s="54"/>
      <c r="W36" s="51"/>
    </row>
    <row r="37" spans="1:23" s="23" customFormat="1" ht="7.5" customHeight="1" thickBot="1">
      <c r="A37" s="51"/>
      <c r="C37" s="55"/>
      <c r="D37" s="55"/>
      <c r="E37" s="81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4"/>
      <c r="V37" s="54"/>
      <c r="W37" s="51"/>
    </row>
    <row r="38" spans="1:23" ht="27" customHeight="1">
      <c r="A38" s="51"/>
      <c r="C38" s="380" t="s">
        <v>0</v>
      </c>
      <c r="D38" s="381"/>
      <c r="E38" s="378" t="s">
        <v>183</v>
      </c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70"/>
      <c r="U38" s="84" t="s">
        <v>128</v>
      </c>
      <c r="V38" s="52"/>
      <c r="W38" s="51"/>
    </row>
    <row r="39" spans="1:23" ht="27" customHeight="1">
      <c r="A39" s="51"/>
      <c r="C39" s="371" t="s">
        <v>97</v>
      </c>
      <c r="D39" s="372"/>
      <c r="E39" s="102">
        <f>+E36+1</f>
        <v>22</v>
      </c>
      <c r="F39" s="377" t="s">
        <v>142</v>
      </c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89"/>
      <c r="V39" s="57"/>
      <c r="W39" s="51"/>
    </row>
    <row r="40" spans="1:23" ht="27" customHeight="1">
      <c r="A40" s="51"/>
      <c r="C40" s="373"/>
      <c r="D40" s="374"/>
      <c r="E40" s="102">
        <f t="shared" ref="E40:E45" si="1">E39+1</f>
        <v>23</v>
      </c>
      <c r="F40" s="377" t="s">
        <v>98</v>
      </c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89"/>
      <c r="V40" s="57"/>
      <c r="W40" s="51"/>
    </row>
    <row r="41" spans="1:23" ht="27" customHeight="1">
      <c r="A41" s="51"/>
      <c r="C41" s="373"/>
      <c r="D41" s="374"/>
      <c r="E41" s="102">
        <f t="shared" si="1"/>
        <v>24</v>
      </c>
      <c r="F41" s="377" t="s">
        <v>99</v>
      </c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89"/>
      <c r="V41" s="57"/>
      <c r="W41" s="51"/>
    </row>
    <row r="42" spans="1:23" ht="27" customHeight="1">
      <c r="A42" s="51"/>
      <c r="C42" s="373"/>
      <c r="D42" s="374"/>
      <c r="E42" s="102">
        <f t="shared" si="1"/>
        <v>25</v>
      </c>
      <c r="F42" s="377" t="s">
        <v>100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89"/>
      <c r="V42" s="57"/>
      <c r="W42" s="51"/>
    </row>
    <row r="43" spans="1:23" ht="27" customHeight="1">
      <c r="A43" s="51"/>
      <c r="C43" s="373"/>
      <c r="D43" s="374"/>
      <c r="E43" s="102">
        <f t="shared" si="1"/>
        <v>26</v>
      </c>
      <c r="F43" s="377" t="s">
        <v>101</v>
      </c>
      <c r="G43" s="377"/>
      <c r="H43" s="377"/>
      <c r="I43" s="377"/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89"/>
      <c r="V43" s="57"/>
      <c r="W43" s="51"/>
    </row>
    <row r="44" spans="1:23" ht="27" customHeight="1">
      <c r="A44" s="51"/>
      <c r="C44" s="373"/>
      <c r="D44" s="374"/>
      <c r="E44" s="102">
        <f t="shared" si="1"/>
        <v>27</v>
      </c>
      <c r="F44" s="377" t="s">
        <v>102</v>
      </c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89"/>
      <c r="V44" s="57"/>
      <c r="W44" s="51"/>
    </row>
    <row r="45" spans="1:23" ht="27" customHeight="1" thickBot="1">
      <c r="A45" s="51"/>
      <c r="C45" s="375"/>
      <c r="D45" s="376"/>
      <c r="E45" s="103">
        <f t="shared" si="1"/>
        <v>28</v>
      </c>
      <c r="F45" s="358" t="s">
        <v>134</v>
      </c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90">
        <f>SUM(U39:U44)</f>
        <v>0</v>
      </c>
      <c r="V45" s="58"/>
      <c r="W45" s="51"/>
    </row>
    <row r="46" spans="1:23" ht="18.75" customHeight="1">
      <c r="A46" s="51"/>
      <c r="C46" s="385">
        <f>IF(AND('Anexo B'!J22&lt;=U40,U40&gt;0),"La Casilla 10 'Ingresos por Salarios' del Anexo B debe ser superior a la Casilla 23 'Retenciones por Salarios'.",0)</f>
        <v>0</v>
      </c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59"/>
      <c r="V46" s="59"/>
      <c r="W46" s="51"/>
    </row>
    <row r="47" spans="1:23" ht="9" customHeight="1">
      <c r="A47" s="51"/>
      <c r="B47" s="51"/>
      <c r="C47" s="60"/>
      <c r="D47" s="61"/>
      <c r="E47" s="82"/>
      <c r="F47" s="61"/>
      <c r="G47" s="61"/>
      <c r="H47" s="61"/>
      <c r="I47" s="61"/>
      <c r="J47" s="61"/>
      <c r="K47" s="61"/>
      <c r="L47" s="61"/>
      <c r="M47" s="61"/>
      <c r="N47" s="62"/>
      <c r="O47" s="61"/>
      <c r="P47" s="61"/>
      <c r="Q47" s="61"/>
      <c r="R47" s="61"/>
      <c r="S47" s="61"/>
      <c r="T47" s="61"/>
      <c r="U47" s="61"/>
      <c r="V47" s="61"/>
      <c r="W47" s="51"/>
    </row>
  </sheetData>
  <sheetProtection password="C847" sheet="1" selectLockedCells="1"/>
  <mergeCells count="53">
    <mergeCell ref="C46:T46"/>
    <mergeCell ref="U4:U5"/>
    <mergeCell ref="E7:I7"/>
    <mergeCell ref="J7:L7"/>
    <mergeCell ref="M7:N7"/>
    <mergeCell ref="C15:D15"/>
    <mergeCell ref="D11:F11"/>
    <mergeCell ref="D12:F12"/>
    <mergeCell ref="T7:U7"/>
    <mergeCell ref="C16:D36"/>
    <mergeCell ref="C38:D38"/>
    <mergeCell ref="E38:T38"/>
    <mergeCell ref="F31:T31"/>
    <mergeCell ref="F27:T27"/>
    <mergeCell ref="F36:T36"/>
    <mergeCell ref="F30:Q30"/>
    <mergeCell ref="R30:T30"/>
    <mergeCell ref="C39:D45"/>
    <mergeCell ref="F39:T39"/>
    <mergeCell ref="F40:T40"/>
    <mergeCell ref="F41:T41"/>
    <mergeCell ref="F42:T42"/>
    <mergeCell ref="F44:T44"/>
    <mergeCell ref="F43:T43"/>
    <mergeCell ref="F6:P6"/>
    <mergeCell ref="F28:T28"/>
    <mergeCell ref="F29:T29"/>
    <mergeCell ref="F26:Q26"/>
    <mergeCell ref="R26:T26"/>
    <mergeCell ref="F23:Q23"/>
    <mergeCell ref="R23:T23"/>
    <mergeCell ref="R15:T15"/>
    <mergeCell ref="F18:Q18"/>
    <mergeCell ref="T6:U6"/>
    <mergeCell ref="H12:T12"/>
    <mergeCell ref="E15:Q15"/>
    <mergeCell ref="C8:E8"/>
    <mergeCell ref="R17:T17"/>
    <mergeCell ref="R18:T18"/>
    <mergeCell ref="F16:Q16"/>
    <mergeCell ref="R16:T16"/>
    <mergeCell ref="F45:T45"/>
    <mergeCell ref="F22:T22"/>
    <mergeCell ref="F35:T35"/>
    <mergeCell ref="F32:T32"/>
    <mergeCell ref="F33:T33"/>
    <mergeCell ref="F19:T19"/>
    <mergeCell ref="F20:T20"/>
    <mergeCell ref="F21:T21"/>
    <mergeCell ref="F34:T34"/>
    <mergeCell ref="F17:Q17"/>
    <mergeCell ref="F24:T24"/>
    <mergeCell ref="F25:T25"/>
  </mergeCells>
  <conditionalFormatting sqref="C46:T46">
    <cfRule type="cellIs" dxfId="1" priority="2" stopIfTrue="1" operator="notEqual">
      <formula>0</formula>
    </cfRule>
  </conditionalFormatting>
  <conditionalFormatting sqref="T7:U7 D12:F12 H12:T12">
    <cfRule type="cellIs" dxfId="0" priority="1" stopIfTrue="1" operator="equal">
      <formula>0</formula>
    </cfRule>
  </conditionalFormatting>
  <pageMargins left="0.45" right="0.45" top="0.5" bottom="0.5" header="0.3" footer="0.3"/>
  <pageSetup scale="5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53D0-6B6D-4044-8107-FB88441B8E5A}">
  <sheetPr codeName="Sheet5">
    <tabColor theme="4"/>
    <pageSetUpPr fitToPage="1"/>
  </sheetPr>
  <dimension ref="A1:AH60"/>
  <sheetViews>
    <sheetView topLeftCell="A38" zoomScale="78" zoomScaleNormal="58" workbookViewId="0">
      <selection activeCell="D49" sqref="D49:K49"/>
    </sheetView>
  </sheetViews>
  <sheetFormatPr baseColWidth="10" defaultColWidth="0" defaultRowHeight="14.5" zeroHeight="1"/>
  <cols>
    <col min="1" max="1" width="1.26953125" style="63" customWidth="1"/>
    <col min="2" max="2" width="2.81640625" style="63" customWidth="1"/>
    <col min="3" max="4" width="3.453125" style="63" customWidth="1"/>
    <col min="5" max="5" width="0.81640625" style="63" customWidth="1"/>
    <col min="6" max="6" width="7.453125" style="63" customWidth="1"/>
    <col min="7" max="7" width="3.7265625" style="141" customWidth="1"/>
    <col min="8" max="8" width="27.26953125" style="63" customWidth="1"/>
    <col min="9" max="9" width="3.7265625" style="63" customWidth="1"/>
    <col min="10" max="10" width="29.453125" style="63" customWidth="1"/>
    <col min="11" max="11" width="9.1796875" style="63" customWidth="1"/>
    <col min="12" max="12" width="3.1796875" style="63" customWidth="1"/>
    <col min="13" max="13" width="11.81640625" style="63" bestFit="1" customWidth="1"/>
    <col min="14" max="14" width="3.453125" style="63" customWidth="1"/>
    <col min="15" max="18" width="3.26953125" style="63" customWidth="1"/>
    <col min="19" max="19" width="5.453125" style="63" customWidth="1"/>
    <col min="20" max="20" width="4.7265625" style="142" customWidth="1"/>
    <col min="21" max="21" width="3.7265625" style="142" customWidth="1"/>
    <col min="22" max="22" width="1.7265625" style="63" customWidth="1"/>
    <col min="23" max="23" width="3.1796875" style="63" customWidth="1"/>
    <col min="24" max="24" width="1.26953125" style="63" customWidth="1"/>
    <col min="25" max="25" width="4" style="63" customWidth="1"/>
    <col min="26" max="26" width="3.54296875" style="63" customWidth="1"/>
    <col min="27" max="27" width="3.7265625" style="63" customWidth="1"/>
    <col min="28" max="28" width="6.453125" style="142" customWidth="1"/>
    <col min="29" max="29" width="9.1796875" style="63" customWidth="1"/>
    <col min="30" max="30" width="11" style="63" customWidth="1"/>
    <col min="31" max="31" width="9.1796875" style="63" customWidth="1"/>
    <col min="32" max="32" width="3.54296875" style="63" customWidth="1"/>
    <col min="33" max="33" width="2.81640625" style="63" customWidth="1"/>
    <col min="34" max="34" width="1.26953125" style="63" customWidth="1"/>
    <col min="35" max="16384" width="9.1796875" style="63" hidden="1"/>
  </cols>
  <sheetData>
    <row r="1" spans="1:34" ht="5.25" customHeight="1">
      <c r="A1" s="138"/>
      <c r="B1" s="138"/>
      <c r="C1" s="138"/>
      <c r="D1" s="138"/>
      <c r="E1" s="138"/>
      <c r="F1" s="138"/>
      <c r="G1" s="139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40"/>
      <c r="U1" s="140"/>
      <c r="V1" s="138"/>
      <c r="W1" s="138"/>
      <c r="X1" s="138"/>
      <c r="Y1" s="138"/>
      <c r="Z1" s="138"/>
      <c r="AA1" s="138"/>
      <c r="AB1" s="140"/>
      <c r="AC1" s="138"/>
      <c r="AD1" s="138"/>
      <c r="AE1" s="138"/>
      <c r="AF1" s="138"/>
      <c r="AG1" s="138"/>
      <c r="AH1" s="138"/>
    </row>
    <row r="2" spans="1:34">
      <c r="A2" s="138"/>
      <c r="AH2" s="138"/>
    </row>
    <row r="3" spans="1:34">
      <c r="A3" s="138"/>
      <c r="AH3" s="138"/>
    </row>
    <row r="4" spans="1:34">
      <c r="A4" s="138"/>
      <c r="AH4" s="138"/>
    </row>
    <row r="5" spans="1:34" s="144" customFormat="1" ht="21.75" customHeight="1">
      <c r="A5" s="143"/>
      <c r="G5" s="430" t="s">
        <v>153</v>
      </c>
      <c r="H5" s="430"/>
      <c r="I5" s="430"/>
      <c r="J5" s="430"/>
      <c r="K5" s="430"/>
      <c r="L5" s="430"/>
      <c r="M5" s="430"/>
      <c r="N5" s="145"/>
      <c r="T5" s="146"/>
      <c r="U5" s="146"/>
      <c r="AB5" s="146"/>
      <c r="AD5" s="435" t="s">
        <v>60</v>
      </c>
      <c r="AE5" s="435"/>
      <c r="AF5" s="435"/>
      <c r="AH5" s="143"/>
    </row>
    <row r="6" spans="1:34" s="144" customFormat="1" ht="24" customHeight="1">
      <c r="A6" s="143"/>
      <c r="G6" s="429" t="s">
        <v>154</v>
      </c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AB6" s="146"/>
      <c r="AH6" s="143"/>
    </row>
    <row r="7" spans="1:34">
      <c r="A7" s="138"/>
      <c r="V7" s="197"/>
      <c r="W7" s="197"/>
      <c r="X7" s="197"/>
      <c r="Y7" s="197"/>
      <c r="Z7" s="197"/>
      <c r="AA7" s="197"/>
      <c r="AB7" s="197" t="s">
        <v>117</v>
      </c>
      <c r="AC7" s="229"/>
      <c r="AD7" s="434"/>
      <c r="AE7" s="434"/>
      <c r="AF7" s="434"/>
      <c r="AH7" s="138"/>
    </row>
    <row r="8" spans="1:34" ht="15.75" customHeight="1">
      <c r="A8" s="138"/>
      <c r="C8" s="436" t="s">
        <v>197</v>
      </c>
      <c r="D8" s="436"/>
      <c r="E8" s="436"/>
      <c r="F8" s="436"/>
      <c r="AH8" s="138"/>
    </row>
    <row r="9" spans="1:34" ht="17.25" customHeight="1" thickBot="1">
      <c r="A9" s="138"/>
      <c r="C9" s="433"/>
      <c r="D9" s="433"/>
      <c r="E9" s="433"/>
      <c r="F9" s="433"/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  <c r="AB9" s="433"/>
      <c r="AC9" s="433"/>
      <c r="AD9" s="433"/>
      <c r="AE9" s="433"/>
      <c r="AF9" s="433"/>
      <c r="AH9" s="138"/>
    </row>
    <row r="10" spans="1:34" ht="19.5" customHeight="1">
      <c r="A10" s="138"/>
      <c r="C10" s="420" t="s">
        <v>57</v>
      </c>
      <c r="D10" s="421"/>
      <c r="E10" s="421"/>
      <c r="F10" s="422"/>
      <c r="G10" s="147"/>
      <c r="H10" s="148" t="s">
        <v>168</v>
      </c>
      <c r="I10" s="149"/>
      <c r="J10" s="512" t="s">
        <v>118</v>
      </c>
      <c r="K10" s="512"/>
      <c r="L10" s="512"/>
      <c r="M10" s="512"/>
      <c r="N10" s="512"/>
      <c r="O10" s="512"/>
      <c r="P10" s="512"/>
      <c r="Q10" s="512"/>
      <c r="R10" s="150"/>
      <c r="S10" s="512" t="s">
        <v>120</v>
      </c>
      <c r="T10" s="512"/>
      <c r="U10" s="512"/>
      <c r="V10" s="512"/>
      <c r="W10" s="512"/>
      <c r="X10" s="512"/>
      <c r="Y10" s="512"/>
      <c r="Z10" s="512"/>
      <c r="AA10" s="512"/>
      <c r="AB10" s="512"/>
      <c r="AC10" s="512"/>
      <c r="AD10" s="512"/>
      <c r="AE10" s="512"/>
      <c r="AF10" s="151"/>
      <c r="AH10" s="138"/>
    </row>
    <row r="11" spans="1:34" ht="19.5" customHeight="1">
      <c r="A11" s="138"/>
      <c r="C11" s="514" t="s">
        <v>53</v>
      </c>
      <c r="D11" s="515"/>
      <c r="E11" s="515"/>
      <c r="F11" s="516"/>
      <c r="G11" s="2"/>
      <c r="H11" s="118"/>
      <c r="J11" s="405"/>
      <c r="K11" s="406"/>
      <c r="L11" s="406"/>
      <c r="M11" s="406"/>
      <c r="N11" s="406"/>
      <c r="O11" s="406"/>
      <c r="P11" s="406"/>
      <c r="Q11" s="407"/>
      <c r="S11" s="405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7"/>
      <c r="AF11" s="152"/>
      <c r="AH11" s="138"/>
    </row>
    <row r="12" spans="1:34" ht="19.5" customHeight="1">
      <c r="A12" s="138"/>
      <c r="C12" s="514"/>
      <c r="D12" s="515"/>
      <c r="E12" s="515"/>
      <c r="F12" s="516"/>
      <c r="G12" s="153"/>
      <c r="H12" s="64" t="s">
        <v>155</v>
      </c>
      <c r="I12" s="153"/>
      <c r="J12" s="513" t="s">
        <v>119</v>
      </c>
      <c r="K12" s="513"/>
      <c r="L12" s="513"/>
      <c r="M12" s="513"/>
      <c r="N12" s="513"/>
      <c r="O12" s="513"/>
      <c r="P12" s="513"/>
      <c r="Q12" s="513"/>
      <c r="S12" s="419" t="s">
        <v>55</v>
      </c>
      <c r="T12" s="419"/>
      <c r="U12" s="419"/>
      <c r="V12" s="419"/>
      <c r="W12" s="419"/>
      <c r="X12" s="419"/>
      <c r="Y12" s="419"/>
      <c r="Z12" s="419"/>
      <c r="AA12" s="155"/>
      <c r="AB12" s="419" t="s">
        <v>156</v>
      </c>
      <c r="AC12" s="419"/>
      <c r="AD12" s="419"/>
      <c r="AE12" s="156"/>
      <c r="AF12" s="152"/>
      <c r="AH12" s="138"/>
    </row>
    <row r="13" spans="1:34" ht="19.5" customHeight="1">
      <c r="A13" s="138"/>
      <c r="C13" s="514"/>
      <c r="D13" s="515"/>
      <c r="E13" s="515"/>
      <c r="F13" s="516"/>
      <c r="G13" s="2"/>
      <c r="H13" s="119"/>
      <c r="I13" s="154"/>
      <c r="J13" s="520"/>
      <c r="K13" s="521"/>
      <c r="L13" s="521"/>
      <c r="M13" s="521"/>
      <c r="N13" s="521"/>
      <c r="O13" s="521"/>
      <c r="P13" s="521"/>
      <c r="Q13" s="522"/>
      <c r="S13" s="405" t="s">
        <v>212</v>
      </c>
      <c r="T13" s="406"/>
      <c r="U13" s="406"/>
      <c r="V13" s="406"/>
      <c r="W13" s="406"/>
      <c r="X13" s="406"/>
      <c r="Y13" s="406"/>
      <c r="Z13" s="407"/>
      <c r="AB13" s="416" t="s">
        <v>184</v>
      </c>
      <c r="AC13" s="417"/>
      <c r="AD13" s="418"/>
      <c r="AE13" s="2"/>
      <c r="AF13" s="152"/>
      <c r="AH13" s="138"/>
    </row>
    <row r="14" spans="1:34" ht="20.25" customHeight="1" thickBot="1">
      <c r="A14" s="138"/>
      <c r="C14" s="517"/>
      <c r="D14" s="518"/>
      <c r="E14" s="518"/>
      <c r="F14" s="519"/>
      <c r="G14" s="432"/>
      <c r="H14" s="432"/>
      <c r="I14" s="432"/>
      <c r="J14" s="432"/>
      <c r="K14" s="432"/>
      <c r="L14" s="432"/>
      <c r="M14" s="65"/>
      <c r="N14" s="423"/>
      <c r="O14" s="423"/>
      <c r="P14" s="423"/>
      <c r="Q14" s="423"/>
      <c r="R14" s="423"/>
      <c r="S14" s="423"/>
      <c r="T14" s="423"/>
      <c r="U14" s="423"/>
      <c r="V14" s="423"/>
      <c r="W14" s="431"/>
      <c r="X14" s="431"/>
      <c r="Y14" s="157"/>
      <c r="Z14" s="157"/>
      <c r="AA14" s="157"/>
      <c r="AB14" s="424"/>
      <c r="AC14" s="424"/>
      <c r="AD14" s="424"/>
      <c r="AE14" s="424"/>
      <c r="AF14" s="425"/>
      <c r="AH14" s="138"/>
    </row>
    <row r="15" spans="1:34" ht="15" thickBot="1">
      <c r="A15" s="138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H15" s="138"/>
    </row>
    <row r="16" spans="1:34" ht="26.25" customHeight="1">
      <c r="A16" s="138"/>
      <c r="C16" s="502" t="s">
        <v>0</v>
      </c>
      <c r="D16" s="503"/>
      <c r="E16" s="503"/>
      <c r="F16" s="503"/>
      <c r="G16" s="66" t="s">
        <v>58</v>
      </c>
      <c r="H16" s="451" t="s">
        <v>226</v>
      </c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  <c r="AA16" s="67" t="s">
        <v>4</v>
      </c>
      <c r="AB16" s="68" t="s">
        <v>48</v>
      </c>
      <c r="AC16" s="442">
        <f>+'Anexo B'!L27</f>
        <v>0</v>
      </c>
      <c r="AD16" s="442"/>
      <c r="AE16" s="442"/>
      <c r="AF16" s="443"/>
      <c r="AH16" s="138"/>
    </row>
    <row r="17" spans="1:34" ht="26.25" customHeight="1">
      <c r="A17" s="138"/>
      <c r="C17" s="408" t="s">
        <v>61</v>
      </c>
      <c r="D17" s="409"/>
      <c r="E17" s="409"/>
      <c r="F17" s="409"/>
      <c r="G17" s="74">
        <v>1</v>
      </c>
      <c r="H17" s="389" t="s">
        <v>227</v>
      </c>
      <c r="I17" s="389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71" t="s">
        <v>4</v>
      </c>
      <c r="AB17" s="69">
        <v>1</v>
      </c>
      <c r="AC17" s="523">
        <f>+'Anexo B'!L90</f>
        <v>0</v>
      </c>
      <c r="AD17" s="523"/>
      <c r="AE17" s="523"/>
      <c r="AF17" s="524"/>
      <c r="AH17" s="138"/>
    </row>
    <row r="18" spans="1:34" ht="26.25" customHeight="1">
      <c r="A18" s="138"/>
      <c r="C18" s="410"/>
      <c r="D18" s="411"/>
      <c r="E18" s="411"/>
      <c r="F18" s="411"/>
      <c r="G18" s="70">
        <v>2</v>
      </c>
      <c r="H18" s="394" t="s">
        <v>125</v>
      </c>
      <c r="I18" s="394"/>
      <c r="J18" s="394"/>
      <c r="K18" s="394"/>
      <c r="L18" s="394"/>
      <c r="M18" s="394"/>
      <c r="N18" s="394"/>
      <c r="O18" s="394"/>
      <c r="P18" s="394"/>
      <c r="Q18" s="394"/>
      <c r="R18" s="394"/>
      <c r="S18" s="394"/>
      <c r="T18" s="73" t="s">
        <v>2</v>
      </c>
      <c r="U18" s="72">
        <v>2</v>
      </c>
      <c r="V18" s="393"/>
      <c r="W18" s="393"/>
      <c r="X18" s="393"/>
      <c r="Y18" s="393"/>
      <c r="Z18" s="393"/>
      <c r="AA18" s="393"/>
      <c r="AB18" s="393"/>
      <c r="AC18" s="504"/>
      <c r="AD18" s="505"/>
      <c r="AE18" s="505"/>
      <c r="AF18" s="506"/>
      <c r="AH18" s="138"/>
    </row>
    <row r="19" spans="1:34" ht="26.25" customHeight="1">
      <c r="A19" s="138"/>
      <c r="C19" s="410"/>
      <c r="D19" s="411"/>
      <c r="E19" s="411"/>
      <c r="F19" s="411"/>
      <c r="G19" s="70">
        <v>3</v>
      </c>
      <c r="H19" s="394" t="s">
        <v>151</v>
      </c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73" t="s">
        <v>3</v>
      </c>
      <c r="U19" s="72">
        <v>3</v>
      </c>
      <c r="V19" s="393"/>
      <c r="W19" s="393"/>
      <c r="X19" s="393"/>
      <c r="Y19" s="393"/>
      <c r="Z19" s="393"/>
      <c r="AA19" s="393"/>
      <c r="AB19" s="393"/>
      <c r="AC19" s="507"/>
      <c r="AD19" s="433"/>
      <c r="AE19" s="433"/>
      <c r="AF19" s="508"/>
      <c r="AH19" s="138"/>
    </row>
    <row r="20" spans="1:34" ht="26.25" customHeight="1">
      <c r="A20" s="138"/>
      <c r="C20" s="410"/>
      <c r="D20" s="411"/>
      <c r="E20" s="411"/>
      <c r="F20" s="411"/>
      <c r="G20" s="70">
        <v>4</v>
      </c>
      <c r="H20" s="394" t="s">
        <v>228</v>
      </c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73" t="s">
        <v>3</v>
      </c>
      <c r="U20" s="72">
        <v>4</v>
      </c>
      <c r="V20" s="396">
        <f>+'Anexo B'!J26</f>
        <v>0</v>
      </c>
      <c r="W20" s="396"/>
      <c r="X20" s="396"/>
      <c r="Y20" s="396"/>
      <c r="Z20" s="396"/>
      <c r="AA20" s="396"/>
      <c r="AB20" s="396"/>
      <c r="AC20" s="509"/>
      <c r="AD20" s="510"/>
      <c r="AE20" s="510"/>
      <c r="AF20" s="511"/>
      <c r="AH20" s="138"/>
    </row>
    <row r="21" spans="1:34" ht="26.25" customHeight="1">
      <c r="A21" s="138"/>
      <c r="C21" s="410"/>
      <c r="D21" s="411"/>
      <c r="E21" s="411"/>
      <c r="F21" s="411"/>
      <c r="G21" s="74">
        <v>5</v>
      </c>
      <c r="H21" s="389" t="s">
        <v>199</v>
      </c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71" t="s">
        <v>4</v>
      </c>
      <c r="AB21" s="116">
        <v>5</v>
      </c>
      <c r="AC21" s="437">
        <f>AC17+V18-V19-V20</f>
        <v>0</v>
      </c>
      <c r="AD21" s="438"/>
      <c r="AE21" s="438"/>
      <c r="AF21" s="439"/>
      <c r="AH21" s="138"/>
    </row>
    <row r="22" spans="1:34" ht="26.25" customHeight="1">
      <c r="A22" s="138"/>
      <c r="C22" s="410"/>
      <c r="D22" s="411"/>
      <c r="E22" s="411"/>
      <c r="F22" s="411"/>
      <c r="G22" s="70">
        <v>6</v>
      </c>
      <c r="H22" s="395" t="s">
        <v>152</v>
      </c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73" t="s">
        <v>3</v>
      </c>
      <c r="U22" s="72">
        <v>6</v>
      </c>
      <c r="V22" s="396">
        <f>ABS(IF(('Anexo B'!L34+'Anexo B'!L42+'Anexo B'!L52+'Anexo B'!L54+'Anexo B'!L63+'Anexo B'!L70+'Anexo B'!L75+'Anexo B'!L84+'Anexo B'!L88)&lt;=0,(416220),0))</f>
        <v>416220</v>
      </c>
      <c r="W22" s="396"/>
      <c r="X22" s="396"/>
      <c r="Y22" s="396"/>
      <c r="Z22" s="396"/>
      <c r="AA22" s="396"/>
      <c r="AB22" s="396"/>
      <c r="AC22" s="426">
        <f>IF(AC21-V22&gt;0,AC21-V22,0)</f>
        <v>0</v>
      </c>
      <c r="AD22" s="427"/>
      <c r="AE22" s="427"/>
      <c r="AF22" s="428"/>
      <c r="AH22" s="138"/>
    </row>
    <row r="23" spans="1:34" ht="26.25" customHeight="1">
      <c r="A23" s="138"/>
      <c r="C23" s="410"/>
      <c r="D23" s="411"/>
      <c r="E23" s="411"/>
      <c r="F23" s="411"/>
      <c r="G23" s="70">
        <v>7</v>
      </c>
      <c r="H23" s="395" t="s">
        <v>198</v>
      </c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71" t="s">
        <v>3</v>
      </c>
      <c r="U23" s="72">
        <v>7</v>
      </c>
      <c r="V23" s="396">
        <f>IF((IF('Anexo RG'!R47&gt;(AC22*0.1),AC22*0.1,'Anexo RG'!R47))&gt;=AC23*0.25,AC23*0.25,IF('Anexo RG'!R47&gt;(AC22*0.1),AC22*0.1,'Anexo RG'!R47))</f>
        <v>0</v>
      </c>
      <c r="W23" s="396"/>
      <c r="X23" s="396"/>
      <c r="Y23" s="396"/>
      <c r="Z23" s="396"/>
      <c r="AA23" s="396"/>
      <c r="AB23" s="396"/>
      <c r="AC23" s="448">
        <v>416220</v>
      </c>
      <c r="AD23" s="449"/>
      <c r="AE23" s="449"/>
      <c r="AF23" s="450"/>
      <c r="AH23" s="138"/>
    </row>
    <row r="24" spans="1:34" ht="26.25" customHeight="1">
      <c r="A24" s="138"/>
      <c r="C24" s="412"/>
      <c r="D24" s="413"/>
      <c r="E24" s="413"/>
      <c r="F24" s="413"/>
      <c r="G24" s="70">
        <v>8</v>
      </c>
      <c r="H24" s="394" t="s">
        <v>185</v>
      </c>
      <c r="I24" s="394"/>
      <c r="J24" s="394"/>
      <c r="K24" s="394"/>
      <c r="L24" s="394"/>
      <c r="M24" s="394"/>
      <c r="N24" s="394"/>
      <c r="O24" s="394"/>
      <c r="P24" s="394"/>
      <c r="Q24" s="394"/>
      <c r="R24" s="394"/>
      <c r="S24" s="394"/>
      <c r="T24" s="73" t="s">
        <v>2</v>
      </c>
      <c r="U24" s="72">
        <v>8</v>
      </c>
      <c r="V24" s="393"/>
      <c r="W24" s="393"/>
      <c r="X24" s="393"/>
      <c r="Y24" s="393"/>
      <c r="Z24" s="393"/>
      <c r="AA24" s="393"/>
      <c r="AB24" s="393"/>
      <c r="AC24" s="158"/>
      <c r="AD24" s="159"/>
      <c r="AE24" s="159"/>
      <c r="AF24" s="160"/>
      <c r="AH24" s="138"/>
    </row>
    <row r="25" spans="1:34" ht="26.25" customHeight="1">
      <c r="A25" s="138"/>
      <c r="C25" s="412"/>
      <c r="D25" s="413"/>
      <c r="E25" s="413"/>
      <c r="F25" s="413"/>
      <c r="G25" s="70">
        <v>9</v>
      </c>
      <c r="H25" s="394" t="s">
        <v>186</v>
      </c>
      <c r="I25" s="394"/>
      <c r="J25" s="394"/>
      <c r="K25" s="394"/>
      <c r="L25" s="394"/>
      <c r="M25" s="394"/>
      <c r="N25" s="394"/>
      <c r="O25" s="394"/>
      <c r="P25" s="394"/>
      <c r="Q25" s="394"/>
      <c r="R25" s="394"/>
      <c r="S25" s="394"/>
      <c r="T25" s="73" t="s">
        <v>2</v>
      </c>
      <c r="U25" s="72">
        <v>9</v>
      </c>
      <c r="V25" s="393"/>
      <c r="W25" s="393"/>
      <c r="X25" s="393"/>
      <c r="Y25" s="393"/>
      <c r="Z25" s="393"/>
      <c r="AA25" s="393"/>
      <c r="AB25" s="393"/>
      <c r="AC25" s="158"/>
      <c r="AD25" s="159"/>
      <c r="AE25" s="159"/>
      <c r="AF25" s="160"/>
      <c r="AH25" s="138"/>
    </row>
    <row r="26" spans="1:34" ht="26.25" customHeight="1" thickBot="1">
      <c r="A26" s="138"/>
      <c r="C26" s="414"/>
      <c r="D26" s="415"/>
      <c r="E26" s="415"/>
      <c r="F26" s="415"/>
      <c r="G26" s="75">
        <v>10</v>
      </c>
      <c r="H26" s="452" t="s">
        <v>200</v>
      </c>
      <c r="I26" s="452"/>
      <c r="J26" s="452"/>
      <c r="K26" s="452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108" t="s">
        <v>4</v>
      </c>
      <c r="AB26" s="109">
        <v>10</v>
      </c>
      <c r="AC26" s="444">
        <f>IF(AC21-V22-V23+V24+V25&gt;0,AC21-V22-V23+V24+V25,0)</f>
        <v>0</v>
      </c>
      <c r="AD26" s="445"/>
      <c r="AE26" s="445"/>
      <c r="AF26" s="446"/>
      <c r="AH26" s="138"/>
    </row>
    <row r="27" spans="1:34" ht="15" thickBot="1">
      <c r="A27" s="138"/>
      <c r="C27" s="447"/>
      <c r="D27" s="447"/>
      <c r="E27" s="447"/>
      <c r="F27" s="447"/>
      <c r="G27" s="447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Y27" s="447"/>
      <c r="Z27" s="447"/>
      <c r="AA27" s="447"/>
      <c r="AB27" s="447"/>
      <c r="AC27" s="447"/>
      <c r="AD27" s="447"/>
      <c r="AE27" s="447"/>
      <c r="AF27" s="447"/>
      <c r="AH27" s="138"/>
    </row>
    <row r="28" spans="1:34" ht="26.25" customHeight="1">
      <c r="A28" s="138"/>
      <c r="C28" s="502" t="s">
        <v>5</v>
      </c>
      <c r="D28" s="503"/>
      <c r="E28" s="503"/>
      <c r="F28" s="503"/>
      <c r="G28" s="76">
        <v>11</v>
      </c>
      <c r="H28" s="501" t="s">
        <v>201</v>
      </c>
      <c r="I28" s="501"/>
      <c r="J28" s="501"/>
      <c r="K28" s="501"/>
      <c r="L28" s="501"/>
      <c r="M28" s="501"/>
      <c r="N28" s="501"/>
      <c r="O28" s="501"/>
      <c r="P28" s="501"/>
      <c r="Q28" s="501"/>
      <c r="R28" s="501"/>
      <c r="S28" s="501"/>
      <c r="T28" s="501"/>
      <c r="U28" s="501"/>
      <c r="V28" s="501"/>
      <c r="W28" s="501"/>
      <c r="X28" s="501"/>
      <c r="Y28" s="501"/>
      <c r="Z28" s="501"/>
      <c r="AA28" s="110" t="s">
        <v>4</v>
      </c>
      <c r="AB28" s="161">
        <v>11</v>
      </c>
      <c r="AC28" s="403">
        <f>ABS(IF(AND(AC26&lt;=0,V22&gt;0),0,IF(AND(AC26&lt;=208109,V22&gt;0),0.15*AC26,IF(AND(AC26&lt;=450903,V22&gt;0),31216.35 +(0.2*(AC26-208109)),IF(AND(AC26&gt;=450903,V22&gt;0), 79775.15 +(0.25*(AC26-450903)),IF(AC26&lt;=624329,0.15*AC26,IF(AC26&lt;=867123,93649.35 +(0.2*(AC26-624329)),IF(AC26&gt;867123, 142208.15 +(0.25*(AC26-867123))))))))))</f>
        <v>0</v>
      </c>
      <c r="AD28" s="403"/>
      <c r="AE28" s="403"/>
      <c r="AF28" s="404"/>
      <c r="AH28" s="138"/>
    </row>
    <row r="29" spans="1:34" ht="26.25" customHeight="1">
      <c r="A29" s="138"/>
      <c r="C29" s="408" t="s">
        <v>157</v>
      </c>
      <c r="D29" s="409"/>
      <c r="E29" s="409"/>
      <c r="F29" s="409"/>
      <c r="G29" s="70">
        <v>12</v>
      </c>
      <c r="H29" s="341" t="s">
        <v>49</v>
      </c>
      <c r="I29" s="341"/>
      <c r="J29" s="341"/>
      <c r="K29" s="341"/>
      <c r="L29" s="341"/>
      <c r="M29" s="341"/>
      <c r="N29" s="341"/>
      <c r="O29" s="341"/>
      <c r="P29" s="341"/>
      <c r="Q29" s="341"/>
      <c r="R29" s="341"/>
      <c r="S29" s="341"/>
      <c r="T29" s="77" t="s">
        <v>3</v>
      </c>
      <c r="U29" s="162">
        <v>12</v>
      </c>
      <c r="V29" s="392"/>
      <c r="W29" s="392"/>
      <c r="X29" s="392"/>
      <c r="Y29" s="392"/>
      <c r="Z29" s="392"/>
      <c r="AA29" s="392"/>
      <c r="AB29" s="392"/>
      <c r="AC29" s="397"/>
      <c r="AD29" s="397"/>
      <c r="AE29" s="397"/>
      <c r="AF29" s="398"/>
      <c r="AH29" s="138"/>
    </row>
    <row r="30" spans="1:34" ht="26.25" customHeight="1">
      <c r="A30" s="138"/>
      <c r="C30" s="410"/>
      <c r="D30" s="411"/>
      <c r="E30" s="411"/>
      <c r="F30" s="411"/>
      <c r="G30" s="113">
        <v>13</v>
      </c>
      <c r="H30" s="279" t="s">
        <v>150</v>
      </c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114" t="s">
        <v>3</v>
      </c>
      <c r="U30" s="162">
        <v>13</v>
      </c>
      <c r="V30" s="437">
        <f>+'Anexo A'!U45</f>
        <v>0</v>
      </c>
      <c r="W30" s="438"/>
      <c r="X30" s="438"/>
      <c r="Y30" s="438"/>
      <c r="Z30" s="438"/>
      <c r="AA30" s="438"/>
      <c r="AB30" s="438"/>
      <c r="AC30" s="397"/>
      <c r="AD30" s="397"/>
      <c r="AE30" s="397"/>
      <c r="AF30" s="398"/>
      <c r="AH30" s="138"/>
    </row>
    <row r="31" spans="1:34" ht="26.25" customHeight="1">
      <c r="A31" s="138"/>
      <c r="C31" s="410"/>
      <c r="D31" s="411"/>
      <c r="E31" s="411"/>
      <c r="F31" s="411"/>
      <c r="G31" s="113">
        <v>14</v>
      </c>
      <c r="H31" s="341" t="s">
        <v>50</v>
      </c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114" t="s">
        <v>3</v>
      </c>
      <c r="U31" s="162">
        <v>14</v>
      </c>
      <c r="V31" s="392"/>
      <c r="W31" s="392"/>
      <c r="X31" s="392"/>
      <c r="Y31" s="392"/>
      <c r="Z31" s="392"/>
      <c r="AA31" s="392"/>
      <c r="AB31" s="392"/>
      <c r="AC31" s="397"/>
      <c r="AD31" s="397"/>
      <c r="AE31" s="397"/>
      <c r="AF31" s="398"/>
      <c r="AH31" s="138"/>
    </row>
    <row r="32" spans="1:34" ht="26.25" customHeight="1">
      <c r="A32" s="138"/>
      <c r="C32" s="410"/>
      <c r="D32" s="411"/>
      <c r="E32" s="411"/>
      <c r="F32" s="411"/>
      <c r="G32" s="113">
        <v>15</v>
      </c>
      <c r="H32" s="341" t="s">
        <v>51</v>
      </c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114" t="s">
        <v>3</v>
      </c>
      <c r="U32" s="162">
        <v>15</v>
      </c>
      <c r="V32" s="392"/>
      <c r="W32" s="392"/>
      <c r="X32" s="392"/>
      <c r="Y32" s="392"/>
      <c r="Z32" s="392"/>
      <c r="AA32" s="392"/>
      <c r="AB32" s="392"/>
      <c r="AC32" s="397"/>
      <c r="AD32" s="397"/>
      <c r="AE32" s="397"/>
      <c r="AF32" s="398"/>
      <c r="AH32" s="138"/>
    </row>
    <row r="33" spans="1:34" ht="26.25" customHeight="1">
      <c r="A33" s="138"/>
      <c r="C33" s="410"/>
      <c r="D33" s="411"/>
      <c r="E33" s="411"/>
      <c r="F33" s="411"/>
      <c r="G33" s="114">
        <v>16</v>
      </c>
      <c r="H33" s="471" t="s">
        <v>202</v>
      </c>
      <c r="I33" s="471"/>
      <c r="J33" s="471"/>
      <c r="K33" s="471"/>
      <c r="L33" s="471"/>
      <c r="M33" s="471"/>
      <c r="N33" s="471"/>
      <c r="O33" s="471"/>
      <c r="P33" s="471"/>
      <c r="Q33" s="471"/>
      <c r="R33" s="471"/>
      <c r="S33" s="471"/>
      <c r="T33" s="471"/>
      <c r="U33" s="471"/>
      <c r="V33" s="471"/>
      <c r="W33" s="471"/>
      <c r="X33" s="471"/>
      <c r="Y33" s="471"/>
      <c r="Z33" s="471"/>
      <c r="AA33" s="114" t="s">
        <v>4</v>
      </c>
      <c r="AB33" s="163">
        <v>16</v>
      </c>
      <c r="AC33" s="440">
        <f>IF((AC28-V29-V30-V31-V32)&gt;0,(AC28-V29-V30-V31-V32),0)</f>
        <v>0</v>
      </c>
      <c r="AD33" s="440"/>
      <c r="AE33" s="440"/>
      <c r="AF33" s="441"/>
      <c r="AH33" s="138"/>
    </row>
    <row r="34" spans="1:34" ht="26.25" customHeight="1">
      <c r="A34" s="138"/>
      <c r="C34" s="410"/>
      <c r="D34" s="411"/>
      <c r="E34" s="411"/>
      <c r="F34" s="411"/>
      <c r="G34" s="113">
        <v>17</v>
      </c>
      <c r="H34" s="341" t="s">
        <v>203</v>
      </c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114" t="s">
        <v>4</v>
      </c>
      <c r="U34" s="162">
        <v>17</v>
      </c>
      <c r="V34" s="391">
        <f>ABS(IF((AC28-V29-V30-V31-V32)&lt;0,(AC28-V29-V30-V31-V32),0))</f>
        <v>0</v>
      </c>
      <c r="W34" s="391"/>
      <c r="X34" s="391"/>
      <c r="Y34" s="391"/>
      <c r="Z34" s="391"/>
      <c r="AA34" s="391"/>
      <c r="AB34" s="391"/>
      <c r="AC34" s="397"/>
      <c r="AD34" s="397"/>
      <c r="AE34" s="397"/>
      <c r="AF34" s="398"/>
      <c r="AH34" s="138"/>
    </row>
    <row r="35" spans="1:34" ht="26.25" customHeight="1">
      <c r="A35" s="138"/>
      <c r="C35" s="410"/>
      <c r="D35" s="411"/>
      <c r="E35" s="411"/>
      <c r="F35" s="411"/>
      <c r="G35" s="113">
        <v>18</v>
      </c>
      <c r="H35" s="341" t="s">
        <v>158</v>
      </c>
      <c r="I35" s="341"/>
      <c r="J35" s="341"/>
      <c r="K35" s="204"/>
      <c r="L35" s="390" t="s">
        <v>204</v>
      </c>
      <c r="M35" s="390"/>
      <c r="N35" s="390"/>
      <c r="O35" s="390"/>
      <c r="P35" s="390"/>
      <c r="Q35" s="390"/>
      <c r="R35" s="390"/>
      <c r="S35" s="390"/>
      <c r="T35" s="113" t="s">
        <v>2</v>
      </c>
      <c r="U35" s="162">
        <v>18</v>
      </c>
      <c r="V35" s="399">
        <f>AC33*K35%</f>
        <v>0</v>
      </c>
      <c r="W35" s="400"/>
      <c r="X35" s="400"/>
      <c r="Y35" s="400"/>
      <c r="Z35" s="400"/>
      <c r="AA35" s="400"/>
      <c r="AB35" s="400"/>
      <c r="AC35" s="397"/>
      <c r="AD35" s="397"/>
      <c r="AE35" s="397"/>
      <c r="AF35" s="398"/>
      <c r="AH35" s="138"/>
    </row>
    <row r="36" spans="1:34" ht="26.25" customHeight="1">
      <c r="A36" s="138"/>
      <c r="C36" s="410"/>
      <c r="D36" s="411"/>
      <c r="E36" s="411"/>
      <c r="F36" s="411"/>
      <c r="G36" s="113">
        <v>19</v>
      </c>
      <c r="H36" s="498" t="s">
        <v>52</v>
      </c>
      <c r="I36" s="499"/>
      <c r="J36" s="499"/>
      <c r="K36" s="499"/>
      <c r="L36" s="499"/>
      <c r="M36" s="499"/>
      <c r="N36" s="499"/>
      <c r="O36" s="499"/>
      <c r="P36" s="499"/>
      <c r="Q36" s="499"/>
      <c r="R36" s="499"/>
      <c r="S36" s="500"/>
      <c r="T36" s="113" t="s">
        <v>2</v>
      </c>
      <c r="U36" s="162">
        <v>19</v>
      </c>
      <c r="V36" s="401"/>
      <c r="W36" s="402"/>
      <c r="X36" s="402"/>
      <c r="Y36" s="402"/>
      <c r="Z36" s="402"/>
      <c r="AA36" s="402"/>
      <c r="AB36" s="402"/>
      <c r="AC36" s="397"/>
      <c r="AD36" s="397"/>
      <c r="AE36" s="397"/>
      <c r="AF36" s="398"/>
      <c r="AH36" s="138"/>
    </row>
    <row r="37" spans="1:34" ht="26.25" customHeight="1">
      <c r="A37" s="138"/>
      <c r="C37" s="410"/>
      <c r="D37" s="411"/>
      <c r="E37" s="411"/>
      <c r="F37" s="411"/>
      <c r="G37" s="113">
        <v>20</v>
      </c>
      <c r="H37" s="341" t="s">
        <v>159</v>
      </c>
      <c r="I37" s="341"/>
      <c r="J37" s="341"/>
      <c r="K37" s="204"/>
      <c r="L37" s="390" t="s">
        <v>204</v>
      </c>
      <c r="M37" s="390"/>
      <c r="N37" s="390"/>
      <c r="O37" s="390"/>
      <c r="P37" s="390"/>
      <c r="Q37" s="390"/>
      <c r="R37" s="390"/>
      <c r="S37" s="390"/>
      <c r="T37" s="113" t="s">
        <v>2</v>
      </c>
      <c r="U37" s="162">
        <v>20</v>
      </c>
      <c r="V37" s="399">
        <f>AC33*K37%</f>
        <v>0</v>
      </c>
      <c r="W37" s="400"/>
      <c r="X37" s="400"/>
      <c r="Y37" s="400"/>
      <c r="Z37" s="400"/>
      <c r="AA37" s="400"/>
      <c r="AB37" s="400"/>
      <c r="AC37" s="397"/>
      <c r="AD37" s="397"/>
      <c r="AE37" s="397"/>
      <c r="AF37" s="398"/>
      <c r="AH37" s="138"/>
    </row>
    <row r="38" spans="1:34" ht="26.25" customHeight="1">
      <c r="A38" s="138"/>
      <c r="C38" s="410"/>
      <c r="D38" s="411"/>
      <c r="E38" s="411"/>
      <c r="F38" s="411"/>
      <c r="G38" s="113">
        <v>21</v>
      </c>
      <c r="H38" s="498" t="s">
        <v>160</v>
      </c>
      <c r="I38" s="499"/>
      <c r="J38" s="499"/>
      <c r="K38" s="499"/>
      <c r="L38" s="499"/>
      <c r="M38" s="499"/>
      <c r="N38" s="499"/>
      <c r="O38" s="499"/>
      <c r="P38" s="499"/>
      <c r="Q38" s="499"/>
      <c r="R38" s="499"/>
      <c r="S38" s="500"/>
      <c r="T38" s="113" t="s">
        <v>2</v>
      </c>
      <c r="U38" s="162">
        <v>21</v>
      </c>
      <c r="V38" s="401"/>
      <c r="W38" s="402"/>
      <c r="X38" s="402"/>
      <c r="Y38" s="402"/>
      <c r="Z38" s="402"/>
      <c r="AA38" s="402"/>
      <c r="AB38" s="402"/>
      <c r="AC38" s="397"/>
      <c r="AD38" s="397"/>
      <c r="AE38" s="397"/>
      <c r="AF38" s="398"/>
      <c r="AH38" s="138"/>
    </row>
    <row r="39" spans="1:34" ht="26.25" customHeight="1" thickBot="1">
      <c r="A39" s="138"/>
      <c r="C39" s="414"/>
      <c r="D39" s="415"/>
      <c r="E39" s="415"/>
      <c r="F39" s="415"/>
      <c r="G39" s="115">
        <v>22</v>
      </c>
      <c r="H39" s="345" t="s">
        <v>205</v>
      </c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115" t="s">
        <v>4</v>
      </c>
      <c r="AB39" s="164">
        <v>22</v>
      </c>
      <c r="AC39" s="469">
        <f>AC33+V35+V36+V37+V38</f>
        <v>0</v>
      </c>
      <c r="AD39" s="469"/>
      <c r="AE39" s="469"/>
      <c r="AF39" s="470"/>
      <c r="AH39" s="138"/>
    </row>
    <row r="40" spans="1:34" ht="14.25" customHeight="1" thickBot="1">
      <c r="A40" s="138"/>
      <c r="C40" s="117"/>
      <c r="D40" s="117"/>
      <c r="E40" s="117"/>
      <c r="F40" s="117"/>
      <c r="G40" s="117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17"/>
      <c r="AB40" s="166"/>
      <c r="AC40" s="167"/>
      <c r="AD40" s="167"/>
      <c r="AE40" s="167"/>
      <c r="AF40" s="167"/>
      <c r="AH40" s="138"/>
    </row>
    <row r="41" spans="1:34" ht="15.75" customHeight="1">
      <c r="A41" s="138"/>
      <c r="C41" s="472" t="s">
        <v>12</v>
      </c>
      <c r="D41" s="473"/>
      <c r="E41" s="473"/>
      <c r="F41" s="474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9"/>
      <c r="AH41" s="138"/>
    </row>
    <row r="42" spans="1:34" ht="26.25" customHeight="1">
      <c r="A42" s="138"/>
      <c r="C42" s="462" t="s">
        <v>103</v>
      </c>
      <c r="D42" s="463"/>
      <c r="E42" s="463"/>
      <c r="F42" s="464"/>
      <c r="G42" s="170"/>
      <c r="H42" s="171" t="s">
        <v>182</v>
      </c>
      <c r="I42" s="459"/>
      <c r="J42" s="461"/>
      <c r="K42" s="170"/>
      <c r="L42" s="170"/>
      <c r="M42" s="455" t="s">
        <v>105</v>
      </c>
      <c r="N42" s="455"/>
      <c r="O42" s="455"/>
      <c r="P42" s="455"/>
      <c r="Q42" s="455"/>
      <c r="R42" s="455"/>
      <c r="S42" s="455"/>
      <c r="T42" s="456"/>
      <c r="U42" s="459"/>
      <c r="V42" s="460"/>
      <c r="W42" s="460"/>
      <c r="X42" s="460"/>
      <c r="Y42" s="460"/>
      <c r="Z42" s="460"/>
      <c r="AA42" s="460"/>
      <c r="AB42" s="460"/>
      <c r="AC42" s="461"/>
      <c r="AD42" s="170"/>
      <c r="AE42" s="170"/>
      <c r="AF42" s="172"/>
      <c r="AH42" s="138"/>
    </row>
    <row r="43" spans="1:34" ht="9" customHeight="1">
      <c r="A43" s="138"/>
      <c r="C43" s="462"/>
      <c r="D43" s="463"/>
      <c r="E43" s="463"/>
      <c r="F43" s="464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63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94"/>
      <c r="AH43" s="138"/>
    </row>
    <row r="44" spans="1:34" ht="26.25" customHeight="1">
      <c r="A44" s="138"/>
      <c r="C44" s="462"/>
      <c r="D44" s="463"/>
      <c r="E44" s="463"/>
      <c r="F44" s="464"/>
      <c r="G44" s="170"/>
      <c r="H44" s="171" t="s">
        <v>104</v>
      </c>
      <c r="I44" s="459"/>
      <c r="J44" s="461"/>
      <c r="K44" s="170"/>
      <c r="L44" s="170"/>
      <c r="M44" s="455" t="s">
        <v>181</v>
      </c>
      <c r="N44" s="455"/>
      <c r="O44" s="455"/>
      <c r="P44" s="455"/>
      <c r="Q44" s="455"/>
      <c r="R44" s="455"/>
      <c r="S44" s="455"/>
      <c r="T44" s="456"/>
      <c r="U44" s="459"/>
      <c r="V44" s="460"/>
      <c r="W44" s="460"/>
      <c r="X44" s="460"/>
      <c r="Y44" s="460"/>
      <c r="Z44" s="460"/>
      <c r="AA44" s="460"/>
      <c r="AB44" s="460"/>
      <c r="AC44" s="461"/>
      <c r="AD44" s="170"/>
      <c r="AE44" s="170"/>
      <c r="AF44" s="94"/>
      <c r="AH44" s="138"/>
    </row>
    <row r="45" spans="1:34" ht="14.25" customHeight="1" thickBot="1">
      <c r="A45" s="138"/>
      <c r="C45" s="465"/>
      <c r="D45" s="466"/>
      <c r="E45" s="466"/>
      <c r="F45" s="467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4"/>
      <c r="AH45" s="138"/>
    </row>
    <row r="46" spans="1:34" ht="12.75" customHeight="1" thickBot="1">
      <c r="A46" s="138"/>
      <c r="C46" s="117"/>
      <c r="D46" s="117"/>
      <c r="E46" s="117"/>
      <c r="F46" s="117"/>
      <c r="G46" s="117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17"/>
      <c r="AB46" s="166"/>
      <c r="AC46" s="167"/>
      <c r="AD46" s="167"/>
      <c r="AE46" s="167"/>
      <c r="AF46" s="167"/>
      <c r="AH46" s="138"/>
    </row>
    <row r="47" spans="1:34" ht="26.25" customHeight="1">
      <c r="A47" s="138"/>
      <c r="C47" s="491" t="s">
        <v>178</v>
      </c>
      <c r="D47" s="492"/>
      <c r="E47" s="492"/>
      <c r="F47" s="492"/>
      <c r="G47" s="492"/>
      <c r="H47" s="492"/>
      <c r="I47" s="492"/>
      <c r="J47" s="492"/>
      <c r="K47" s="493"/>
      <c r="L47" s="497" t="s">
        <v>179</v>
      </c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Y47" s="497"/>
      <c r="Z47" s="497"/>
      <c r="AA47" s="481" t="s">
        <v>180</v>
      </c>
      <c r="AB47" s="482"/>
      <c r="AC47" s="482"/>
      <c r="AD47" s="482"/>
      <c r="AE47" s="482"/>
      <c r="AF47" s="483"/>
      <c r="AH47" s="138"/>
    </row>
    <row r="48" spans="1:34" ht="26.25" customHeight="1">
      <c r="A48" s="138"/>
      <c r="C48" s="175"/>
      <c r="D48" s="176"/>
      <c r="E48" s="177"/>
      <c r="F48" s="176"/>
      <c r="G48" s="176"/>
      <c r="H48" s="176"/>
      <c r="I48" s="176"/>
      <c r="J48" s="176"/>
      <c r="K48" s="178"/>
      <c r="L48" s="457" t="s">
        <v>140</v>
      </c>
      <c r="M48" s="458"/>
      <c r="N48" s="458"/>
      <c r="O48" s="458"/>
      <c r="P48" s="458"/>
      <c r="Q48" s="458"/>
      <c r="R48" s="458"/>
      <c r="S48" s="458"/>
      <c r="T48" s="458"/>
      <c r="U48" s="458"/>
      <c r="V48" s="458"/>
      <c r="W48" s="458"/>
      <c r="X48" s="458"/>
      <c r="Y48" s="458"/>
      <c r="Z48" s="458"/>
      <c r="AA48" s="484" t="s">
        <v>106</v>
      </c>
      <c r="AB48" s="484"/>
      <c r="AC48" s="484"/>
      <c r="AD48" s="484"/>
      <c r="AE48" s="484"/>
      <c r="AF48" s="485"/>
      <c r="AH48" s="138"/>
    </row>
    <row r="49" spans="1:34" ht="26.25" customHeight="1">
      <c r="A49" s="138"/>
      <c r="C49" s="179" t="s">
        <v>107</v>
      </c>
      <c r="D49" s="468"/>
      <c r="E49" s="468"/>
      <c r="F49" s="468"/>
      <c r="G49" s="468"/>
      <c r="H49" s="468"/>
      <c r="I49" s="468"/>
      <c r="J49" s="468"/>
      <c r="K49" s="475"/>
      <c r="L49" s="457"/>
      <c r="M49" s="458"/>
      <c r="N49" s="458"/>
      <c r="O49" s="458"/>
      <c r="P49" s="458"/>
      <c r="Q49" s="458"/>
      <c r="R49" s="458"/>
      <c r="S49" s="458"/>
      <c r="T49" s="458"/>
      <c r="U49" s="458"/>
      <c r="V49" s="458"/>
      <c r="W49" s="458"/>
      <c r="X49" s="458"/>
      <c r="Y49" s="458"/>
      <c r="Z49" s="458"/>
      <c r="AA49" s="484"/>
      <c r="AB49" s="484"/>
      <c r="AC49" s="484"/>
      <c r="AD49" s="484"/>
      <c r="AE49" s="484"/>
      <c r="AF49" s="485"/>
      <c r="AH49" s="138"/>
    </row>
    <row r="50" spans="1:34" ht="26.25" customHeight="1">
      <c r="A50" s="138"/>
      <c r="C50" s="480" t="s">
        <v>108</v>
      </c>
      <c r="D50" s="478"/>
      <c r="E50" s="478"/>
      <c r="F50" s="478"/>
      <c r="G50" s="468"/>
      <c r="H50" s="468"/>
      <c r="I50" s="468"/>
      <c r="J50" s="468"/>
      <c r="K50" s="475"/>
      <c r="L50" s="458"/>
      <c r="M50" s="458"/>
      <c r="N50" s="458"/>
      <c r="O50" s="458"/>
      <c r="P50" s="458"/>
      <c r="Q50" s="458"/>
      <c r="R50" s="458"/>
      <c r="S50" s="458"/>
      <c r="T50" s="458"/>
      <c r="U50" s="458"/>
      <c r="V50" s="458"/>
      <c r="W50" s="458"/>
      <c r="X50" s="458"/>
      <c r="Y50" s="458"/>
      <c r="Z50" s="458"/>
      <c r="AA50" s="484"/>
      <c r="AB50" s="484"/>
      <c r="AC50" s="484"/>
      <c r="AD50" s="484"/>
      <c r="AE50" s="484"/>
      <c r="AF50" s="485"/>
      <c r="AH50" s="138"/>
    </row>
    <row r="51" spans="1:34" ht="15" customHeight="1">
      <c r="A51" s="138"/>
      <c r="C51" s="488" t="s">
        <v>177</v>
      </c>
      <c r="D51" s="489"/>
      <c r="E51" s="489"/>
      <c r="F51" s="489"/>
      <c r="G51" s="489"/>
      <c r="H51" s="489"/>
      <c r="I51" s="489"/>
      <c r="J51" s="489"/>
      <c r="K51" s="490"/>
      <c r="L51" s="180" t="s">
        <v>109</v>
      </c>
      <c r="M51" s="180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165"/>
      <c r="AA51" s="484"/>
      <c r="AB51" s="484"/>
      <c r="AC51" s="484"/>
      <c r="AD51" s="484"/>
      <c r="AE51" s="484"/>
      <c r="AF51" s="485"/>
      <c r="AH51" s="138"/>
    </row>
    <row r="52" spans="1:34">
      <c r="A52" s="138"/>
      <c r="C52" s="488"/>
      <c r="D52" s="489"/>
      <c r="E52" s="489"/>
      <c r="F52" s="489"/>
      <c r="G52" s="489"/>
      <c r="H52" s="489"/>
      <c r="I52" s="489"/>
      <c r="J52" s="489"/>
      <c r="K52" s="490"/>
      <c r="L52" s="181"/>
      <c r="M52" s="182"/>
      <c r="N52" s="181"/>
      <c r="O52" s="181"/>
      <c r="P52" s="181"/>
      <c r="Q52" s="181"/>
      <c r="R52" s="181"/>
      <c r="S52" s="181"/>
      <c r="T52" s="182"/>
      <c r="U52" s="63"/>
      <c r="V52" s="165"/>
      <c r="W52" s="165"/>
      <c r="X52" s="165"/>
      <c r="Y52" s="165"/>
      <c r="Z52" s="165"/>
      <c r="AA52" s="484"/>
      <c r="AB52" s="484"/>
      <c r="AC52" s="484"/>
      <c r="AD52" s="484"/>
      <c r="AE52" s="484"/>
      <c r="AF52" s="485"/>
      <c r="AH52" s="138"/>
    </row>
    <row r="53" spans="1:34">
      <c r="A53" s="138"/>
      <c r="C53" s="488"/>
      <c r="D53" s="489"/>
      <c r="E53" s="489"/>
      <c r="F53" s="489"/>
      <c r="G53" s="489"/>
      <c r="H53" s="489"/>
      <c r="I53" s="489"/>
      <c r="J53" s="489"/>
      <c r="K53" s="490"/>
      <c r="L53" s="180" t="s">
        <v>110</v>
      </c>
      <c r="M53" s="180"/>
      <c r="N53" s="468"/>
      <c r="O53" s="468"/>
      <c r="P53" s="468"/>
      <c r="Q53" s="468"/>
      <c r="R53" s="468"/>
      <c r="S53" s="468"/>
      <c r="T53" s="468"/>
      <c r="U53" s="63"/>
      <c r="V53" s="165"/>
      <c r="W53" s="165"/>
      <c r="X53" s="165"/>
      <c r="Y53" s="165"/>
      <c r="Z53" s="165"/>
      <c r="AA53" s="484"/>
      <c r="AB53" s="484"/>
      <c r="AC53" s="484"/>
      <c r="AD53" s="484"/>
      <c r="AE53" s="484"/>
      <c r="AF53" s="485"/>
      <c r="AH53" s="138"/>
    </row>
    <row r="54" spans="1:34">
      <c r="A54" s="138"/>
      <c r="C54" s="488"/>
      <c r="D54" s="489"/>
      <c r="E54" s="489"/>
      <c r="F54" s="489"/>
      <c r="G54" s="489"/>
      <c r="H54" s="489"/>
      <c r="I54" s="489"/>
      <c r="J54" s="489"/>
      <c r="K54" s="490"/>
      <c r="L54" s="183"/>
      <c r="M54" s="182"/>
      <c r="N54" s="184"/>
      <c r="O54" s="184"/>
      <c r="P54" s="184"/>
      <c r="Q54" s="184"/>
      <c r="R54" s="184"/>
      <c r="S54" s="181"/>
      <c r="T54" s="184"/>
      <c r="U54" s="63"/>
      <c r="V54" s="165"/>
      <c r="W54" s="165"/>
      <c r="X54" s="165"/>
      <c r="Y54" s="165"/>
      <c r="Z54" s="165"/>
      <c r="AA54" s="484"/>
      <c r="AB54" s="484"/>
      <c r="AC54" s="484"/>
      <c r="AD54" s="484"/>
      <c r="AE54" s="484"/>
      <c r="AF54" s="485"/>
      <c r="AH54" s="138"/>
    </row>
    <row r="55" spans="1:34">
      <c r="A55" s="138"/>
      <c r="C55" s="488"/>
      <c r="D55" s="489"/>
      <c r="E55" s="489"/>
      <c r="F55" s="489"/>
      <c r="G55" s="489"/>
      <c r="H55" s="489"/>
      <c r="I55" s="489"/>
      <c r="J55" s="489"/>
      <c r="K55" s="490"/>
      <c r="L55" s="185" t="s">
        <v>111</v>
      </c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165"/>
      <c r="AA55" s="484"/>
      <c r="AB55" s="484"/>
      <c r="AC55" s="484"/>
      <c r="AD55" s="484"/>
      <c r="AE55" s="484"/>
      <c r="AF55" s="485"/>
      <c r="AH55" s="138"/>
    </row>
    <row r="56" spans="1:34">
      <c r="A56" s="138"/>
      <c r="C56" s="476"/>
      <c r="D56" s="477"/>
      <c r="E56" s="477"/>
      <c r="F56" s="477"/>
      <c r="G56" s="181"/>
      <c r="H56" s="478"/>
      <c r="I56" s="478"/>
      <c r="J56" s="478"/>
      <c r="K56" s="479"/>
      <c r="L56" s="186"/>
      <c r="M56" s="187"/>
      <c r="N56" s="188"/>
      <c r="O56" s="188"/>
      <c r="P56" s="188"/>
      <c r="Q56" s="188"/>
      <c r="R56" s="188"/>
      <c r="S56" s="188"/>
      <c r="T56" s="188"/>
      <c r="U56" s="63"/>
      <c r="V56" s="165"/>
      <c r="W56" s="165"/>
      <c r="X56" s="165"/>
      <c r="Y56" s="165"/>
      <c r="Z56" s="165"/>
      <c r="AA56" s="484"/>
      <c r="AB56" s="484"/>
      <c r="AC56" s="484"/>
      <c r="AD56" s="484"/>
      <c r="AE56" s="484"/>
      <c r="AF56" s="485"/>
      <c r="AH56" s="138"/>
    </row>
    <row r="57" spans="1:34">
      <c r="A57" s="138"/>
      <c r="C57" s="495"/>
      <c r="D57" s="496"/>
      <c r="E57" s="496"/>
      <c r="F57" s="496"/>
      <c r="G57" s="181"/>
      <c r="H57" s="468"/>
      <c r="I57" s="468"/>
      <c r="J57" s="468"/>
      <c r="K57" s="475"/>
      <c r="L57" s="188" t="s">
        <v>112</v>
      </c>
      <c r="M57" s="187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165"/>
      <c r="AA57" s="484"/>
      <c r="AB57" s="484"/>
      <c r="AC57" s="484"/>
      <c r="AD57" s="484"/>
      <c r="AE57" s="484"/>
      <c r="AF57" s="485"/>
      <c r="AH57" s="138"/>
    </row>
    <row r="58" spans="1:34" ht="26.25" customHeight="1" thickBot="1">
      <c r="A58" s="138"/>
      <c r="C58" s="494" t="s">
        <v>113</v>
      </c>
      <c r="D58" s="453"/>
      <c r="E58" s="453"/>
      <c r="F58" s="453"/>
      <c r="G58" s="189"/>
      <c r="H58" s="453" t="s">
        <v>114</v>
      </c>
      <c r="I58" s="453"/>
      <c r="J58" s="453"/>
      <c r="K58" s="454"/>
      <c r="L58" s="190"/>
      <c r="M58" s="191"/>
      <c r="N58" s="192"/>
      <c r="O58" s="192"/>
      <c r="P58" s="192"/>
      <c r="Q58" s="192"/>
      <c r="R58" s="192"/>
      <c r="S58" s="192"/>
      <c r="T58" s="191"/>
      <c r="U58" s="157"/>
      <c r="V58" s="193"/>
      <c r="W58" s="193"/>
      <c r="X58" s="193"/>
      <c r="Y58" s="193"/>
      <c r="Z58" s="193"/>
      <c r="AA58" s="486"/>
      <c r="AB58" s="486"/>
      <c r="AC58" s="486"/>
      <c r="AD58" s="486"/>
      <c r="AE58" s="486"/>
      <c r="AF58" s="487"/>
      <c r="AH58" s="138"/>
    </row>
    <row r="59" spans="1:34">
      <c r="A59" s="138"/>
      <c r="AH59" s="138"/>
    </row>
    <row r="60" spans="1:34" ht="6.75" customHeight="1">
      <c r="A60" s="138"/>
      <c r="B60" s="138"/>
      <c r="C60" s="138"/>
      <c r="D60" s="138"/>
      <c r="E60" s="138"/>
      <c r="F60" s="138"/>
      <c r="G60" s="139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40"/>
      <c r="U60" s="140"/>
      <c r="V60" s="138"/>
      <c r="W60" s="138"/>
      <c r="X60" s="138"/>
      <c r="Y60" s="138"/>
      <c r="Z60" s="138"/>
      <c r="AA60" s="138"/>
      <c r="AB60" s="140"/>
      <c r="AC60" s="138"/>
      <c r="AD60" s="138"/>
      <c r="AE60" s="138"/>
      <c r="AF60" s="138"/>
      <c r="AG60" s="138"/>
      <c r="AH60" s="138"/>
    </row>
  </sheetData>
  <sheetProtection sheet="1" selectLockedCells="1"/>
  <mergeCells count="109">
    <mergeCell ref="C56:F56"/>
    <mergeCell ref="H56:K56"/>
    <mergeCell ref="C50:F50"/>
    <mergeCell ref="G50:K50"/>
    <mergeCell ref="N57:Y57"/>
    <mergeCell ref="AA47:AF47"/>
    <mergeCell ref="AA48:AF58"/>
    <mergeCell ref="C51:K55"/>
    <mergeCell ref="C47:K47"/>
    <mergeCell ref="D49:K49"/>
    <mergeCell ref="N51:Y51"/>
    <mergeCell ref="N55:Y55"/>
    <mergeCell ref="C58:F58"/>
    <mergeCell ref="C57:F57"/>
    <mergeCell ref="L47:Z47"/>
    <mergeCell ref="C42:F45"/>
    <mergeCell ref="N53:T53"/>
    <mergeCell ref="H31:S31"/>
    <mergeCell ref="AC39:AF39"/>
    <mergeCell ref="AC29:AF32"/>
    <mergeCell ref="V30:AB30"/>
    <mergeCell ref="H33:Z33"/>
    <mergeCell ref="C41:F41"/>
    <mergeCell ref="I42:J42"/>
    <mergeCell ref="I44:J44"/>
    <mergeCell ref="M42:T42"/>
    <mergeCell ref="C29:F39"/>
    <mergeCell ref="H29:S29"/>
    <mergeCell ref="H30:S30"/>
    <mergeCell ref="H39:Z39"/>
    <mergeCell ref="H36:S36"/>
    <mergeCell ref="H38:S38"/>
    <mergeCell ref="L37:S37"/>
    <mergeCell ref="H58:K58"/>
    <mergeCell ref="M44:T44"/>
    <mergeCell ref="V23:AB23"/>
    <mergeCell ref="H19:S19"/>
    <mergeCell ref="V32:AB32"/>
    <mergeCell ref="H24:S24"/>
    <mergeCell ref="H34:S34"/>
    <mergeCell ref="V38:AB38"/>
    <mergeCell ref="V22:AB22"/>
    <mergeCell ref="L48:Z50"/>
    <mergeCell ref="U42:AC42"/>
    <mergeCell ref="U44:AC44"/>
    <mergeCell ref="H57:K57"/>
    <mergeCell ref="H28:Z28"/>
    <mergeCell ref="AC18:AF20"/>
    <mergeCell ref="H18:S18"/>
    <mergeCell ref="G6:W6"/>
    <mergeCell ref="G5:M5"/>
    <mergeCell ref="W14:X14"/>
    <mergeCell ref="I14:L14"/>
    <mergeCell ref="C9:AF9"/>
    <mergeCell ref="G14:H14"/>
    <mergeCell ref="AD7:AF7"/>
    <mergeCell ref="AD5:AF5"/>
    <mergeCell ref="S13:Z13"/>
    <mergeCell ref="C8:F8"/>
    <mergeCell ref="S10:AE10"/>
    <mergeCell ref="J10:Q10"/>
    <mergeCell ref="J12:Q12"/>
    <mergeCell ref="C11:F14"/>
    <mergeCell ref="J13:Q13"/>
    <mergeCell ref="S11:AE11"/>
    <mergeCell ref="J11:Q11"/>
    <mergeCell ref="C17:F26"/>
    <mergeCell ref="AB13:AD13"/>
    <mergeCell ref="S12:Z12"/>
    <mergeCell ref="C10:F10"/>
    <mergeCell ref="N14:V14"/>
    <mergeCell ref="AB14:AF14"/>
    <mergeCell ref="AB12:AD12"/>
    <mergeCell ref="AC22:AF22"/>
    <mergeCell ref="AC21:AF21"/>
    <mergeCell ref="AC16:AF16"/>
    <mergeCell ref="AC26:AF26"/>
    <mergeCell ref="AC23:AF23"/>
    <mergeCell ref="V18:AB18"/>
    <mergeCell ref="V19:AB19"/>
    <mergeCell ref="H16:Z16"/>
    <mergeCell ref="H26:Z26"/>
    <mergeCell ref="AC17:AF17"/>
    <mergeCell ref="C16:F16"/>
    <mergeCell ref="C15:AF15"/>
    <mergeCell ref="H17:Z17"/>
    <mergeCell ref="H22:S22"/>
    <mergeCell ref="H20:S20"/>
    <mergeCell ref="V20:AB20"/>
    <mergeCell ref="AC34:AF38"/>
    <mergeCell ref="V35:AB35"/>
    <mergeCell ref="V36:AB36"/>
    <mergeCell ref="V37:AB37"/>
    <mergeCell ref="H37:J37"/>
    <mergeCell ref="AC28:AF28"/>
    <mergeCell ref="AC33:AF33"/>
    <mergeCell ref="V31:AB31"/>
    <mergeCell ref="C27:AF27"/>
    <mergeCell ref="C28:F28"/>
    <mergeCell ref="H21:Z21"/>
    <mergeCell ref="L35:S35"/>
    <mergeCell ref="H32:S32"/>
    <mergeCell ref="V34:AB34"/>
    <mergeCell ref="H35:J35"/>
    <mergeCell ref="V29:AB29"/>
    <mergeCell ref="V24:AB24"/>
    <mergeCell ref="H25:S25"/>
    <mergeCell ref="V25:AB25"/>
    <mergeCell ref="H23:S23"/>
  </mergeCells>
  <dataValidations count="2">
    <dataValidation type="list" allowBlank="1" showInputMessage="1" showErrorMessage="1" sqref="S13:Z13" xr:uid="{05DE17EB-CF77-4EB6-99C3-B52D460FE684}">
      <formula1>"SI,NO"</formula1>
    </dataValidation>
    <dataValidation type="list" allowBlank="1" showInputMessage="1" showErrorMessage="1" sqref="AB13:AD13" xr:uid="{C170BFB4-8697-4F45-A343-9B8319F6E874}">
      <formula1>"NORMAL,RECTIFICATIVA,D,C,INFORMATIVA,FINAL,CASO FISC. INTERNA"</formula1>
    </dataValidation>
  </dataValidations>
  <printOptions horizontalCentered="1"/>
  <pageMargins left="0.39370078740157483" right="0.11811023622047245" top="0.45" bottom="0.74803149606299213" header="0.31496062992125984" footer="0.31496062992125984"/>
  <pageSetup scale="52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9250-8E7B-4A3B-882F-B70344E78CA5}">
  <sheetPr codeName="Sheet6">
    <tabColor theme="9"/>
    <pageSetUpPr fitToPage="1"/>
  </sheetPr>
  <dimension ref="A1:O27"/>
  <sheetViews>
    <sheetView showRowColHeaders="0" topLeftCell="A6" zoomScale="153" workbookViewId="0">
      <selection activeCell="C16" sqref="C16:D16"/>
    </sheetView>
  </sheetViews>
  <sheetFormatPr baseColWidth="10" defaultColWidth="0" defaultRowHeight="14.5" zeroHeight="1"/>
  <cols>
    <col min="1" max="1" width="1.26953125" style="1" customWidth="1"/>
    <col min="2" max="2" width="1.453125" style="1" customWidth="1"/>
    <col min="3" max="3" width="7.81640625" style="1" customWidth="1"/>
    <col min="4" max="4" width="69.453125" style="1" customWidth="1"/>
    <col min="5" max="5" width="4.453125" style="3" customWidth="1"/>
    <col min="6" max="6" width="16.81640625" style="5" customWidth="1"/>
    <col min="7" max="7" width="1.54296875" style="1" customWidth="1"/>
    <col min="8" max="8" width="1.26953125" style="1" customWidth="1"/>
    <col min="9" max="9" width="0" hidden="1" customWidth="1"/>
    <col min="10" max="10" width="35.26953125" hidden="1" customWidth="1"/>
    <col min="11" max="11" width="17.1796875" hidden="1" customWidth="1"/>
    <col min="12" max="12" width="11.54296875" style="195" hidden="1" customWidth="1"/>
    <col min="13" max="13" width="0" hidden="1" customWidth="1"/>
    <col min="14" max="14" width="9.54296875" hidden="1" customWidth="1"/>
    <col min="15" max="15" width="10.54296875" hidden="1" customWidth="1"/>
  </cols>
  <sheetData>
    <row r="1" spans="1:14" ht="8.25" customHeight="1">
      <c r="A1" s="205"/>
      <c r="B1" s="205"/>
      <c r="C1" s="205"/>
      <c r="D1" s="205"/>
      <c r="E1" s="205"/>
      <c r="F1" s="205"/>
      <c r="G1" s="205"/>
      <c r="H1" s="205"/>
    </row>
    <row r="2" spans="1:14">
      <c r="A2" s="205"/>
      <c r="B2" s="206"/>
      <c r="C2" s="206"/>
      <c r="D2" s="206"/>
      <c r="E2" s="207"/>
      <c r="F2" s="208" t="s">
        <v>197</v>
      </c>
      <c r="G2" s="206"/>
      <c r="H2" s="205"/>
    </row>
    <row r="3" spans="1:14" ht="18.5">
      <c r="A3" s="205"/>
      <c r="B3" s="206"/>
      <c r="C3" s="206"/>
      <c r="D3" s="538" t="s">
        <v>59</v>
      </c>
      <c r="E3" s="538"/>
      <c r="F3" s="538"/>
      <c r="G3" s="206"/>
      <c r="H3" s="205"/>
    </row>
    <row r="4" spans="1:14">
      <c r="A4" s="205"/>
      <c r="B4" s="206"/>
      <c r="C4" s="206"/>
      <c r="D4" s="539" t="s">
        <v>187</v>
      </c>
      <c r="E4" s="539"/>
      <c r="F4" s="539"/>
      <c r="G4" s="206"/>
      <c r="H4" s="205"/>
    </row>
    <row r="5" spans="1:14" ht="5.25" customHeight="1">
      <c r="A5" s="205"/>
      <c r="B5" s="206"/>
      <c r="C5" s="206"/>
      <c r="D5" s="206"/>
      <c r="E5" s="207"/>
      <c r="F5" s="209"/>
      <c r="G5" s="206"/>
      <c r="H5" s="205"/>
    </row>
    <row r="6" spans="1:14" ht="21">
      <c r="A6" s="205"/>
      <c r="B6" s="206"/>
      <c r="C6" s="540" t="s">
        <v>188</v>
      </c>
      <c r="D6" s="540"/>
      <c r="E6" s="540"/>
      <c r="F6" s="540"/>
      <c r="G6" s="206"/>
      <c r="H6" s="205"/>
    </row>
    <row r="7" spans="1:14" ht="6" customHeight="1" thickBot="1">
      <c r="A7" s="205"/>
      <c r="B7" s="206"/>
      <c r="C7" s="210"/>
      <c r="D7" s="210"/>
      <c r="E7" s="210"/>
      <c r="F7" s="210"/>
      <c r="G7" s="206"/>
      <c r="H7" s="205"/>
    </row>
    <row r="8" spans="1:14">
      <c r="A8" s="205"/>
      <c r="B8" s="206"/>
      <c r="C8" s="533" t="s">
        <v>189</v>
      </c>
      <c r="D8" s="534"/>
      <c r="E8" s="534"/>
      <c r="F8" s="535"/>
      <c r="G8" s="206"/>
      <c r="H8" s="205"/>
    </row>
    <row r="9" spans="1:14">
      <c r="A9" s="205"/>
      <c r="B9" s="206"/>
      <c r="C9" s="525" t="s">
        <v>206</v>
      </c>
      <c r="D9" s="526"/>
      <c r="E9" s="211" t="s">
        <v>4</v>
      </c>
      <c r="F9" s="212">
        <f>+'IR-1'!AC26</f>
        <v>0</v>
      </c>
      <c r="G9" s="206"/>
      <c r="H9" s="205"/>
      <c r="N9" s="196"/>
    </row>
    <row r="10" spans="1:14">
      <c r="A10" s="205"/>
      <c r="B10" s="206"/>
      <c r="C10" s="525" t="s">
        <v>207</v>
      </c>
      <c r="D10" s="526"/>
      <c r="E10" s="211" t="s">
        <v>3</v>
      </c>
      <c r="F10" s="212">
        <f>+'IR-1'!V24</f>
        <v>0</v>
      </c>
      <c r="G10" s="206"/>
      <c r="H10" s="205"/>
      <c r="N10" s="196"/>
    </row>
    <row r="11" spans="1:14">
      <c r="A11" s="205"/>
      <c r="B11" s="206"/>
      <c r="C11" s="525" t="s">
        <v>208</v>
      </c>
      <c r="D11" s="526"/>
      <c r="E11" s="211" t="s">
        <v>3</v>
      </c>
      <c r="F11" s="212">
        <f>+'IR-1'!V25</f>
        <v>0</v>
      </c>
      <c r="G11" s="206"/>
      <c r="H11" s="205"/>
      <c r="J11" s="195"/>
    </row>
    <row r="12" spans="1:14" ht="19.5" customHeight="1" thickBot="1">
      <c r="A12" s="205"/>
      <c r="B12" s="206"/>
      <c r="C12" s="531" t="s">
        <v>190</v>
      </c>
      <c r="D12" s="532"/>
      <c r="E12" s="213" t="s">
        <v>4</v>
      </c>
      <c r="F12" s="214">
        <f>IF(F9-F11-F10&lt;0,0,F9-F11-F10)</f>
        <v>0</v>
      </c>
      <c r="G12" s="206"/>
      <c r="H12" s="205"/>
      <c r="J12" s="195"/>
    </row>
    <row r="13" spans="1:14" ht="14.25" customHeight="1" thickTop="1">
      <c r="A13" s="205"/>
      <c r="B13" s="206"/>
      <c r="C13" s="529"/>
      <c r="D13" s="530"/>
      <c r="E13" s="213"/>
      <c r="F13" s="215"/>
      <c r="G13" s="206"/>
      <c r="H13" s="205"/>
    </row>
    <row r="14" spans="1:14" hidden="1">
      <c r="A14" s="205"/>
      <c r="B14" s="206"/>
      <c r="C14" s="536" t="s">
        <v>209</v>
      </c>
      <c r="D14" s="537"/>
      <c r="E14" s="226" t="s">
        <v>4</v>
      </c>
      <c r="F14" s="227">
        <f>+'IR-1'!V22</f>
        <v>416220</v>
      </c>
      <c r="G14" s="206"/>
      <c r="H14" s="205"/>
    </row>
    <row r="15" spans="1:14">
      <c r="A15" s="205"/>
      <c r="B15" s="206"/>
      <c r="C15" s="525" t="s">
        <v>196</v>
      </c>
      <c r="D15" s="526"/>
      <c r="E15" s="216" t="s">
        <v>4</v>
      </c>
      <c r="F15" s="212">
        <f>ABS(IF(AND(F12&lt;=0,F14&gt;0),0,IF(AND(F12&lt;=208109,F14&gt;0),0.15*F12,IF(AND(F12&lt;=450903,F14&gt;0),31216.35 +(0.2*(F12-208109)),IF(AND(F12&gt;=450903,F14&gt;0), 79775.15 +(0.25*(F12-450903)),IF(F12&lt;=624329,0.15*F12,IF(F12&lt;=867123,93649.35 +(0.2*(F12-624329)),IF(F12&gt;867123, 142208.15 +(0.25*(F12-867123))))))))))</f>
        <v>0</v>
      </c>
      <c r="G15" s="206"/>
      <c r="H15" s="205"/>
    </row>
    <row r="16" spans="1:14" ht="15" thickBot="1">
      <c r="A16" s="205"/>
      <c r="B16" s="206"/>
      <c r="C16" s="525" t="s">
        <v>210</v>
      </c>
      <c r="D16" s="526"/>
      <c r="E16" s="211" t="s">
        <v>3</v>
      </c>
      <c r="F16" s="212">
        <f>'IR-1'!V30</f>
        <v>0</v>
      </c>
      <c r="G16" s="206"/>
      <c r="H16" s="205"/>
    </row>
    <row r="17" spans="1:8" ht="15.5" thickTop="1" thickBot="1">
      <c r="A17" s="205"/>
      <c r="B17" s="206"/>
      <c r="C17" s="531" t="s">
        <v>191</v>
      </c>
      <c r="D17" s="532"/>
      <c r="E17" s="217" t="s">
        <v>4</v>
      </c>
      <c r="F17" s="218">
        <f>IF(F15-F16&lt;=0,0,F15-F16)</f>
        <v>0</v>
      </c>
      <c r="G17" s="206"/>
      <c r="H17" s="205"/>
    </row>
    <row r="18" spans="1:8" ht="15.5" thickTop="1" thickBot="1">
      <c r="A18" s="205"/>
      <c r="B18" s="206"/>
      <c r="C18" s="527"/>
      <c r="D18" s="528"/>
      <c r="E18" s="219"/>
      <c r="F18" s="220"/>
      <c r="G18" s="206"/>
      <c r="H18" s="205"/>
    </row>
    <row r="19" spans="1:8" ht="7.5" customHeight="1" thickBot="1">
      <c r="A19" s="205"/>
      <c r="B19" s="206"/>
      <c r="C19" s="206"/>
      <c r="D19" s="206"/>
      <c r="E19" s="207"/>
      <c r="F19" s="209"/>
      <c r="G19" s="206"/>
      <c r="H19" s="205"/>
    </row>
    <row r="20" spans="1:8">
      <c r="A20" s="205"/>
      <c r="B20" s="206"/>
      <c r="C20" s="533" t="s">
        <v>192</v>
      </c>
      <c r="D20" s="534"/>
      <c r="E20" s="534"/>
      <c r="F20" s="535"/>
      <c r="G20" s="206"/>
      <c r="H20" s="205"/>
    </row>
    <row r="21" spans="1:8">
      <c r="A21" s="205"/>
      <c r="B21" s="206"/>
      <c r="C21" s="525" t="s">
        <v>193</v>
      </c>
      <c r="D21" s="526"/>
      <c r="E21" s="221" t="s">
        <v>2</v>
      </c>
      <c r="F21" s="212">
        <f>IF(F17&gt;1000,F17*50%,0)</f>
        <v>0</v>
      </c>
      <c r="G21" s="206"/>
      <c r="H21" s="205"/>
    </row>
    <row r="22" spans="1:8">
      <c r="A22" s="205"/>
      <c r="B22" s="206"/>
      <c r="C22" s="525" t="s">
        <v>194</v>
      </c>
      <c r="D22" s="526"/>
      <c r="E22" s="221" t="s">
        <v>2</v>
      </c>
      <c r="F22" s="212">
        <f>IF(F17&gt;1000,F17*30%,0)</f>
        <v>0</v>
      </c>
      <c r="G22" s="206"/>
      <c r="H22" s="205"/>
    </row>
    <row r="23" spans="1:8">
      <c r="A23" s="205"/>
      <c r="B23" s="206"/>
      <c r="C23" s="525" t="s">
        <v>195</v>
      </c>
      <c r="D23" s="526"/>
      <c r="E23" s="221" t="s">
        <v>2</v>
      </c>
      <c r="F23" s="212">
        <f>IF(F17&gt;1000,F17*20%,0)</f>
        <v>0</v>
      </c>
      <c r="G23" s="206"/>
      <c r="H23" s="205"/>
    </row>
    <row r="24" spans="1:8" ht="15" thickBot="1">
      <c r="A24" s="205"/>
      <c r="B24" s="206"/>
      <c r="C24" s="529" t="s">
        <v>74</v>
      </c>
      <c r="D24" s="530"/>
      <c r="E24" s="221" t="s">
        <v>4</v>
      </c>
      <c r="F24" s="214">
        <f>SUM(F21:F23)</f>
        <v>0</v>
      </c>
      <c r="G24" s="206"/>
      <c r="H24" s="205"/>
    </row>
    <row r="25" spans="1:8" ht="10.5" customHeight="1" thickTop="1" thickBot="1">
      <c r="A25" s="205"/>
      <c r="B25" s="206"/>
      <c r="C25" s="222"/>
      <c r="D25" s="223"/>
      <c r="E25" s="224"/>
      <c r="F25" s="225"/>
      <c r="G25" s="206"/>
      <c r="H25" s="205"/>
    </row>
    <row r="26" spans="1:8">
      <c r="A26" s="205"/>
      <c r="B26" s="206"/>
      <c r="C26" s="206"/>
      <c r="D26" s="206"/>
      <c r="E26" s="207"/>
      <c r="F26" s="209"/>
      <c r="G26" s="206"/>
      <c r="H26" s="205"/>
    </row>
    <row r="27" spans="1:8" ht="8.25" customHeight="1">
      <c r="A27" s="205"/>
      <c r="B27" s="205"/>
      <c r="C27" s="205"/>
      <c r="D27" s="205"/>
      <c r="E27" s="205"/>
      <c r="F27" s="205"/>
      <c r="G27" s="205"/>
      <c r="H27" s="205"/>
    </row>
  </sheetData>
  <sheetProtection password="8447" sheet="1"/>
  <mergeCells count="19">
    <mergeCell ref="C13:D13"/>
    <mergeCell ref="C8:F8"/>
    <mergeCell ref="C9:D9"/>
    <mergeCell ref="C11:D11"/>
    <mergeCell ref="C12:D12"/>
    <mergeCell ref="D3:F3"/>
    <mergeCell ref="D4:F4"/>
    <mergeCell ref="C6:F6"/>
    <mergeCell ref="C10:D10"/>
    <mergeCell ref="C24:D24"/>
    <mergeCell ref="C16:D16"/>
    <mergeCell ref="C17:D17"/>
    <mergeCell ref="C20:F20"/>
    <mergeCell ref="C14:D14"/>
    <mergeCell ref="C15:D15"/>
    <mergeCell ref="C18:D18"/>
    <mergeCell ref="C21:D21"/>
    <mergeCell ref="C22:D22"/>
    <mergeCell ref="C23:D23"/>
  </mergeCells>
  <pageMargins left="0.7" right="0.7" top="0.75" bottom="0.75" header="0.3" footer="0.3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9</vt:i4>
      </vt:variant>
    </vt:vector>
  </HeadingPairs>
  <TitlesOfParts>
    <vt:vector size="15" baseType="lpstr">
      <vt:lpstr>Anexo RG</vt:lpstr>
      <vt:lpstr>Anexo RD</vt:lpstr>
      <vt:lpstr>Anexo B</vt:lpstr>
      <vt:lpstr>Anexo A</vt:lpstr>
      <vt:lpstr>IR-1</vt:lpstr>
      <vt:lpstr>Anticipos</vt:lpstr>
      <vt:lpstr>AÑO_FISCAL</vt:lpstr>
      <vt:lpstr>'Anexo A'!Área_de_impresión</vt:lpstr>
      <vt:lpstr>'Anexo B'!Área_de_impresión</vt:lpstr>
      <vt:lpstr>'Anexo RD'!Área_de_impresión</vt:lpstr>
      <vt:lpstr>'Anexo RG'!Área_de_impresión</vt:lpstr>
      <vt:lpstr>Anticipos!Área_de_impresión</vt:lpstr>
      <vt:lpstr>'IR-1'!Área_de_impresión</vt:lpstr>
      <vt:lpstr>NOMBRE</vt:lpstr>
      <vt:lpstr>RNC</vt:lpstr>
    </vt:vector>
  </TitlesOfParts>
  <Company>Dirección Gral. De Impuestos Internos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 Mercedes L</dc:creator>
  <cp:lastModifiedBy>Jose Nathaniel Bonilla De Los Santos</cp:lastModifiedBy>
  <cp:lastPrinted>2018-06-27T20:52:55Z</cp:lastPrinted>
  <dcterms:created xsi:type="dcterms:W3CDTF">2017-05-11T14:24:08Z</dcterms:created>
  <dcterms:modified xsi:type="dcterms:W3CDTF">2025-09-16T02:57:23Z</dcterms:modified>
</cp:coreProperties>
</file>